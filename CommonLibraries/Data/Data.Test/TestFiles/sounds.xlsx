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te\Desktop\"/>
    </mc:Choice>
  </mc:AlternateContent>
  <bookViews>
    <workbookView xWindow="0" yWindow="0" windowWidth="28800" windowHeight="12210" xr2:uid="{B071CFCE-0DBE-4A1F-8192-3FCAF5B0490D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2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<sst xmlns="http://schemas.openxmlformats.org/spreadsheetml/2006/main" count="219" uniqueCount="219">
  <si>
    <t>Note</t>
  </si>
  <si>
    <t>Frequency (Hz)</t>
  </si>
  <si>
    <t>Wavelength (cm)</t>
  </si>
  <si>
    <r>
      <t>C</t>
    </r>
    <r>
      <rPr>
        <vertAlign val="subscript"/>
        <sz val="11"/>
        <color theme="1"/>
        <rFont val="Calibri"/>
        <family val="2"/>
        <scheme val="minor"/>
      </rPr>
      <t>0</t>
    </r>
  </si>
  <si>
    <r>
      <t> C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/D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 </t>
    </r>
  </si>
  <si>
    <r>
      <t>D</t>
    </r>
    <r>
      <rPr>
        <vertAlign val="subscript"/>
        <sz val="11"/>
        <color theme="1"/>
        <rFont val="Calibri"/>
        <family val="2"/>
        <scheme val="minor"/>
      </rPr>
      <t>0</t>
    </r>
  </si>
  <si>
    <r>
      <t> D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/E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 </t>
    </r>
  </si>
  <si>
    <r>
      <t>E</t>
    </r>
    <r>
      <rPr>
        <vertAlign val="subscript"/>
        <sz val="11"/>
        <color theme="1"/>
        <rFont val="Calibri"/>
        <family val="2"/>
        <scheme val="minor"/>
      </rPr>
      <t>0</t>
    </r>
  </si>
  <si>
    <r>
      <t>F</t>
    </r>
    <r>
      <rPr>
        <vertAlign val="subscript"/>
        <sz val="11"/>
        <color theme="1"/>
        <rFont val="Calibri"/>
        <family val="2"/>
        <scheme val="minor"/>
      </rPr>
      <t>0</t>
    </r>
  </si>
  <si>
    <r>
      <t> F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/G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 </t>
    </r>
  </si>
  <si>
    <r>
      <t>G</t>
    </r>
    <r>
      <rPr>
        <vertAlign val="subscript"/>
        <sz val="11"/>
        <color theme="1"/>
        <rFont val="Calibri"/>
        <family val="2"/>
        <scheme val="minor"/>
      </rPr>
      <t>0</t>
    </r>
  </si>
  <si>
    <r>
      <t> G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/A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 </t>
    </r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</si>
  <si>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</si>
  <si>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r>
      <t> A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/B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 </t>
    </r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</si>
  <si>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</si>
  <si>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r>
      <t>C</t>
    </r>
    <r>
      <rPr>
        <vertAlign val="subscript"/>
        <sz val="11"/>
        <color theme="1"/>
        <rFont val="Calibri"/>
        <family val="2"/>
        <scheme val="minor"/>
      </rPr>
      <t>1</t>
    </r>
  </si>
  <si>
    <r>
      <t> C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/D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 </t>
    </r>
  </si>
  <si>
    <r>
      <t>D</t>
    </r>
    <r>
      <rPr>
        <vertAlign val="subscript"/>
        <sz val="11"/>
        <color theme="1"/>
        <rFont val="Calibri"/>
        <family val="2"/>
        <scheme val="minor"/>
      </rPr>
      <t>1</t>
    </r>
  </si>
  <si>
    <r>
      <t> D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/E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 </t>
    </r>
  </si>
  <si>
    <r>
      <t>E</t>
    </r>
    <r>
      <rPr>
        <vertAlign val="subscript"/>
        <sz val="11"/>
        <color theme="1"/>
        <rFont val="Calibri"/>
        <family val="2"/>
        <scheme val="minor"/>
      </rPr>
      <t>1</t>
    </r>
  </si>
  <si>
    <r>
      <t>F</t>
    </r>
    <r>
      <rPr>
        <vertAlign val="subscript"/>
        <sz val="11"/>
        <color theme="1"/>
        <rFont val="Calibri"/>
        <family val="2"/>
        <scheme val="minor"/>
      </rPr>
      <t>1</t>
    </r>
  </si>
  <si>
    <r>
      <t> F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/G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 </t>
    </r>
  </si>
  <si>
    <r>
      <t>G</t>
    </r>
    <r>
      <rPr>
        <vertAlign val="subscript"/>
        <sz val="11"/>
        <color theme="1"/>
        <rFont val="Calibri"/>
        <family val="2"/>
        <scheme val="minor"/>
      </rPr>
      <t>1</t>
    </r>
  </si>
  <si>
    <r>
      <t> G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/A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 </t>
    </r>
  </si>
  <si>
    <r>
      <t>A</t>
    </r>
    <r>
      <rPr>
        <vertAlign val="subscript"/>
        <sz val="11"/>
        <color theme="1"/>
        <rFont val="Calibri"/>
        <family val="2"/>
        <scheme val="minor"/>
      </rPr>
      <t>1</t>
    </r>
  </si>
  <si>
    <r>
      <t> A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/B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 </t>
    </r>
  </si>
  <si>
    <r>
      <t>B</t>
    </r>
    <r>
      <rPr>
        <vertAlign val="subscript"/>
        <sz val="11"/>
        <color theme="1"/>
        <rFont val="Calibri"/>
        <family val="2"/>
        <scheme val="minor"/>
      </rPr>
      <t>1</t>
    </r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</si>
  <si>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</si>
  <si>
    <r>
      <t> C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/D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 </t>
    </r>
  </si>
  <si>
    <r>
      <t>D</t>
    </r>
    <r>
      <rPr>
        <vertAlign val="subscript"/>
        <sz val="11"/>
        <color theme="1"/>
        <rFont val="Calibri"/>
        <family val="2"/>
        <scheme val="minor"/>
      </rPr>
      <t>2</t>
    </r>
  </si>
  <si>
    <r>
      <t> D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/E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 </t>
    </r>
  </si>
  <si>
    <r>
      <t>E</t>
    </r>
    <r>
      <rPr>
        <vertAlign val="subscript"/>
        <sz val="11"/>
        <color theme="1"/>
        <rFont val="Calibri"/>
        <family val="2"/>
        <scheme val="minor"/>
      </rPr>
      <t>2</t>
    </r>
  </si>
  <si>
    <r>
      <t>F</t>
    </r>
    <r>
      <rPr>
        <vertAlign val="subscript"/>
        <sz val="11"/>
        <color theme="1"/>
        <rFont val="Calibri"/>
        <family val="2"/>
        <scheme val="minor"/>
      </rPr>
      <t>2</t>
    </r>
  </si>
  <si>
    <r>
      <t> F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/G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 </t>
    </r>
  </si>
  <si>
    <r>
      <t>G</t>
    </r>
    <r>
      <rPr>
        <vertAlign val="subscript"/>
        <sz val="11"/>
        <color theme="1"/>
        <rFont val="Calibri"/>
        <family val="2"/>
        <scheme val="minor"/>
      </rPr>
      <t>2</t>
    </r>
  </si>
  <si>
    <r>
      <t> G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/A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 </t>
    </r>
  </si>
  <si>
    <r>
      <t>A</t>
    </r>
    <r>
      <rPr>
        <vertAlign val="subscript"/>
        <sz val="11"/>
        <color theme="1"/>
        <rFont val="Calibri"/>
        <family val="2"/>
        <scheme val="minor"/>
      </rPr>
      <t>2</t>
    </r>
  </si>
  <si>
    <r>
      <t> A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/B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 </t>
    </r>
  </si>
  <si>
    <r>
      <t>B</t>
    </r>
    <r>
      <rPr>
        <vertAlign val="subscript"/>
        <sz val="11"/>
        <color theme="1"/>
        <rFont val="Calibri"/>
        <family val="2"/>
        <scheme val="minor"/>
      </rPr>
      <t>2</t>
    </r>
  </si>
  <si>
    <r>
      <t>C</t>
    </r>
    <r>
      <rPr>
        <vertAlign val="subscript"/>
        <sz val="11"/>
        <color theme="1"/>
        <rFont val="Calibri"/>
        <family val="2"/>
        <scheme val="minor"/>
      </rPr>
      <t>3</t>
    </r>
  </si>
  <si>
    <r>
      <t> C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 </t>
    </r>
  </si>
  <si>
    <r>
      <t>D</t>
    </r>
    <r>
      <rPr>
        <vertAlign val="subscript"/>
        <sz val="11"/>
        <color theme="1"/>
        <rFont val="Calibri"/>
        <family val="2"/>
        <scheme val="minor"/>
      </rPr>
      <t>3</t>
    </r>
  </si>
  <si>
    <r>
      <t> D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/E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 </t>
    </r>
  </si>
  <si>
    <r>
      <t>E</t>
    </r>
    <r>
      <rPr>
        <vertAlign val="subscript"/>
        <sz val="11"/>
        <color theme="1"/>
        <rFont val="Calibri"/>
        <family val="2"/>
        <scheme val="minor"/>
      </rPr>
      <t>3</t>
    </r>
  </si>
  <si>
    <r>
      <t>F</t>
    </r>
    <r>
      <rPr>
        <vertAlign val="subscript"/>
        <sz val="11"/>
        <color theme="1"/>
        <rFont val="Calibri"/>
        <family val="2"/>
        <scheme val="minor"/>
      </rPr>
      <t>3</t>
    </r>
  </si>
  <si>
    <r>
      <t> F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/G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 </t>
    </r>
  </si>
  <si>
    <r>
      <t>G</t>
    </r>
    <r>
      <rPr>
        <vertAlign val="subscript"/>
        <sz val="11"/>
        <color theme="1"/>
        <rFont val="Calibri"/>
        <family val="2"/>
        <scheme val="minor"/>
      </rPr>
      <t>3</t>
    </r>
  </si>
  <si>
    <r>
      <t> G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/A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 </t>
    </r>
  </si>
  <si>
    <r>
      <t>A</t>
    </r>
    <r>
      <rPr>
        <vertAlign val="subscript"/>
        <sz val="11"/>
        <color theme="1"/>
        <rFont val="Calibri"/>
        <family val="2"/>
        <scheme val="minor"/>
      </rPr>
      <t>3</t>
    </r>
  </si>
  <si>
    <r>
      <t> A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/B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 </t>
    </r>
  </si>
  <si>
    <r>
      <t>B</t>
    </r>
    <r>
      <rPr>
        <vertAlign val="subscript"/>
        <sz val="11"/>
        <color theme="1"/>
        <rFont val="Calibri"/>
        <family val="2"/>
        <scheme val="minor"/>
      </rPr>
      <t>3</t>
    </r>
  </si>
  <si>
    <r>
      <t>C</t>
    </r>
    <r>
      <rPr>
        <vertAlign val="subscript"/>
        <sz val="11"/>
        <color theme="1"/>
        <rFont val="Calibri"/>
        <family val="2"/>
        <scheme val="minor"/>
      </rPr>
      <t>4</t>
    </r>
  </si>
  <si>
    <r>
      <t> C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/D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 </t>
    </r>
  </si>
  <si>
    <r>
      <t>D</t>
    </r>
    <r>
      <rPr>
        <vertAlign val="subscript"/>
        <sz val="11"/>
        <color theme="1"/>
        <rFont val="Calibri"/>
        <family val="2"/>
        <scheme val="minor"/>
      </rPr>
      <t>4</t>
    </r>
  </si>
  <si>
    <r>
      <t> D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/E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 </t>
    </r>
  </si>
  <si>
    <r>
      <t>E</t>
    </r>
    <r>
      <rPr>
        <vertAlign val="subscript"/>
        <sz val="11"/>
        <color theme="1"/>
        <rFont val="Calibri"/>
        <family val="2"/>
        <scheme val="minor"/>
      </rPr>
      <t>4</t>
    </r>
  </si>
  <si>
    <r>
      <t>F</t>
    </r>
    <r>
      <rPr>
        <vertAlign val="subscript"/>
        <sz val="11"/>
        <color theme="1"/>
        <rFont val="Calibri"/>
        <family val="2"/>
        <scheme val="minor"/>
      </rPr>
      <t>4</t>
    </r>
  </si>
  <si>
    <r>
      <t> F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/G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 </t>
    </r>
  </si>
  <si>
    <r>
      <t>G</t>
    </r>
    <r>
      <rPr>
        <vertAlign val="subscript"/>
        <sz val="11"/>
        <color theme="1"/>
        <rFont val="Calibri"/>
        <family val="2"/>
        <scheme val="minor"/>
      </rPr>
      <t>4</t>
    </r>
  </si>
  <si>
    <r>
      <t> G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/A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 </t>
    </r>
  </si>
  <si>
    <r>
      <t>A</t>
    </r>
    <r>
      <rPr>
        <vertAlign val="subscript"/>
        <sz val="11"/>
        <color theme="1"/>
        <rFont val="Calibri"/>
        <family val="2"/>
        <scheme val="minor"/>
      </rPr>
      <t>4</t>
    </r>
  </si>
  <si>
    <r>
      <t> A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/B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 </t>
    </r>
  </si>
  <si>
    <r>
      <t>B</t>
    </r>
    <r>
      <rPr>
        <vertAlign val="subscript"/>
        <sz val="11"/>
        <color theme="1"/>
        <rFont val="Calibri"/>
        <family val="2"/>
        <scheme val="minor"/>
      </rPr>
      <t>4</t>
    </r>
  </si>
  <si>
    <r>
      <t>C</t>
    </r>
    <r>
      <rPr>
        <vertAlign val="subscript"/>
        <sz val="11"/>
        <color theme="1"/>
        <rFont val="Calibri"/>
        <family val="2"/>
        <scheme val="minor"/>
      </rPr>
      <t>5</t>
    </r>
  </si>
  <si>
    <r>
      <t> C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/D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 </t>
    </r>
  </si>
  <si>
    <r>
      <t>D</t>
    </r>
    <r>
      <rPr>
        <vertAlign val="subscript"/>
        <sz val="11"/>
        <color theme="1"/>
        <rFont val="Calibri"/>
        <family val="2"/>
        <scheme val="minor"/>
      </rPr>
      <t>5</t>
    </r>
  </si>
  <si>
    <r>
      <t> D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/E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 </t>
    </r>
  </si>
  <si>
    <r>
      <t>E</t>
    </r>
    <r>
      <rPr>
        <vertAlign val="subscript"/>
        <sz val="11"/>
        <color theme="1"/>
        <rFont val="Calibri"/>
        <family val="2"/>
        <scheme val="minor"/>
      </rPr>
      <t>5</t>
    </r>
  </si>
  <si>
    <r>
      <t>F</t>
    </r>
    <r>
      <rPr>
        <vertAlign val="subscript"/>
        <sz val="11"/>
        <color theme="1"/>
        <rFont val="Calibri"/>
        <family val="2"/>
        <scheme val="minor"/>
      </rPr>
      <t>5</t>
    </r>
  </si>
  <si>
    <r>
      <t> F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/G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 </t>
    </r>
  </si>
  <si>
    <r>
      <t>G</t>
    </r>
    <r>
      <rPr>
        <vertAlign val="subscript"/>
        <sz val="11"/>
        <color theme="1"/>
        <rFont val="Calibri"/>
        <family val="2"/>
        <scheme val="minor"/>
      </rPr>
      <t>5</t>
    </r>
  </si>
  <si>
    <r>
      <t> G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/A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 </t>
    </r>
  </si>
  <si>
    <r>
      <t>A</t>
    </r>
    <r>
      <rPr>
        <vertAlign val="subscript"/>
        <sz val="11"/>
        <color theme="1"/>
        <rFont val="Calibri"/>
        <family val="2"/>
        <scheme val="minor"/>
      </rPr>
      <t>5</t>
    </r>
  </si>
  <si>
    <r>
      <t> A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/B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 </t>
    </r>
  </si>
  <si>
    <r>
      <t>B</t>
    </r>
    <r>
      <rPr>
        <vertAlign val="subscript"/>
        <sz val="11"/>
        <color theme="1"/>
        <rFont val="Calibri"/>
        <family val="2"/>
        <scheme val="minor"/>
      </rPr>
      <t>5</t>
    </r>
  </si>
  <si>
    <r>
      <t>C</t>
    </r>
    <r>
      <rPr>
        <vertAlign val="subscript"/>
        <sz val="11"/>
        <color theme="1"/>
        <rFont val="Calibri"/>
        <family val="2"/>
        <scheme val="minor"/>
      </rPr>
      <t>6</t>
    </r>
  </si>
  <si>
    <r>
      <t> C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/D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 </t>
    </r>
  </si>
  <si>
    <r>
      <t>D</t>
    </r>
    <r>
      <rPr>
        <vertAlign val="subscript"/>
        <sz val="11"/>
        <color theme="1"/>
        <rFont val="Calibri"/>
        <family val="2"/>
        <scheme val="minor"/>
      </rPr>
      <t>6</t>
    </r>
  </si>
  <si>
    <r>
      <t> D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/E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 </t>
    </r>
  </si>
  <si>
    <r>
      <t>E</t>
    </r>
    <r>
      <rPr>
        <vertAlign val="subscript"/>
        <sz val="11"/>
        <color theme="1"/>
        <rFont val="Calibri"/>
        <family val="2"/>
        <scheme val="minor"/>
      </rPr>
      <t>6</t>
    </r>
  </si>
  <si>
    <r>
      <t>F</t>
    </r>
    <r>
      <rPr>
        <vertAlign val="subscript"/>
        <sz val="11"/>
        <color theme="1"/>
        <rFont val="Calibri"/>
        <family val="2"/>
        <scheme val="minor"/>
      </rPr>
      <t>6</t>
    </r>
  </si>
  <si>
    <r>
      <t> F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/G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 </t>
    </r>
  </si>
  <si>
    <r>
      <t>G</t>
    </r>
    <r>
      <rPr>
        <vertAlign val="subscript"/>
        <sz val="11"/>
        <color theme="1"/>
        <rFont val="Calibri"/>
        <family val="2"/>
        <scheme val="minor"/>
      </rPr>
      <t>6</t>
    </r>
  </si>
  <si>
    <r>
      <t> G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/A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 </t>
    </r>
  </si>
  <si>
    <r>
      <t>A</t>
    </r>
    <r>
      <rPr>
        <vertAlign val="subscript"/>
        <sz val="11"/>
        <color theme="1"/>
        <rFont val="Calibri"/>
        <family val="2"/>
        <scheme val="minor"/>
      </rPr>
      <t>6</t>
    </r>
  </si>
  <si>
    <r>
      <t> A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/B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 </t>
    </r>
  </si>
  <si>
    <r>
      <t>B</t>
    </r>
    <r>
      <rPr>
        <vertAlign val="subscript"/>
        <sz val="11"/>
        <color theme="1"/>
        <rFont val="Calibri"/>
        <family val="2"/>
        <scheme val="minor"/>
      </rPr>
      <t>6</t>
    </r>
  </si>
  <si>
    <r>
      <t>C</t>
    </r>
    <r>
      <rPr>
        <vertAlign val="subscript"/>
        <sz val="11"/>
        <color theme="1"/>
        <rFont val="Calibri"/>
        <family val="2"/>
        <scheme val="minor"/>
      </rPr>
      <t>7</t>
    </r>
  </si>
  <si>
    <r>
      <t> C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/D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 </t>
    </r>
  </si>
  <si>
    <r>
      <t>D</t>
    </r>
    <r>
      <rPr>
        <vertAlign val="subscript"/>
        <sz val="11"/>
        <color theme="1"/>
        <rFont val="Calibri"/>
        <family val="2"/>
        <scheme val="minor"/>
      </rPr>
      <t>7</t>
    </r>
  </si>
  <si>
    <r>
      <t> D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/E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 </t>
    </r>
  </si>
  <si>
    <r>
      <t>E</t>
    </r>
    <r>
      <rPr>
        <vertAlign val="subscript"/>
        <sz val="11"/>
        <color theme="1"/>
        <rFont val="Calibri"/>
        <family val="2"/>
        <scheme val="minor"/>
      </rPr>
      <t>7</t>
    </r>
  </si>
  <si>
    <r>
      <t>F</t>
    </r>
    <r>
      <rPr>
        <vertAlign val="subscript"/>
        <sz val="11"/>
        <color theme="1"/>
        <rFont val="Calibri"/>
        <family val="2"/>
        <scheme val="minor"/>
      </rPr>
      <t>7</t>
    </r>
  </si>
  <si>
    <r>
      <t> F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/G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 </t>
    </r>
  </si>
  <si>
    <r>
      <t>G</t>
    </r>
    <r>
      <rPr>
        <vertAlign val="subscript"/>
        <sz val="11"/>
        <color theme="1"/>
        <rFont val="Calibri"/>
        <family val="2"/>
        <scheme val="minor"/>
      </rPr>
      <t>7</t>
    </r>
  </si>
  <si>
    <r>
      <t> G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/A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 </t>
    </r>
  </si>
  <si>
    <r>
      <t>A</t>
    </r>
    <r>
      <rPr>
        <vertAlign val="subscript"/>
        <sz val="11"/>
        <color theme="1"/>
        <rFont val="Calibri"/>
        <family val="2"/>
        <scheme val="minor"/>
      </rPr>
      <t>7</t>
    </r>
  </si>
  <si>
    <r>
      <t> A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/B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 </t>
    </r>
  </si>
  <si>
    <r>
      <t>B</t>
    </r>
    <r>
      <rPr>
        <vertAlign val="subscript"/>
        <sz val="11"/>
        <color theme="1"/>
        <rFont val="Calibri"/>
        <family val="2"/>
        <scheme val="minor"/>
      </rPr>
      <t>7</t>
    </r>
  </si>
  <si>
    <r>
      <t>C</t>
    </r>
    <r>
      <rPr>
        <vertAlign val="subscript"/>
        <sz val="11"/>
        <color theme="1"/>
        <rFont val="Calibri"/>
        <family val="2"/>
        <scheme val="minor"/>
      </rPr>
      <t>8</t>
    </r>
  </si>
  <si>
    <r>
      <t> C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/D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 </t>
    </r>
  </si>
  <si>
    <r>
      <t>D</t>
    </r>
    <r>
      <rPr>
        <vertAlign val="subscript"/>
        <sz val="11"/>
        <color theme="1"/>
        <rFont val="Calibri"/>
        <family val="2"/>
        <scheme val="minor"/>
      </rPr>
      <t>8</t>
    </r>
  </si>
  <si>
    <r>
      <t> D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/E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 </t>
    </r>
  </si>
  <si>
    <r>
      <t>E</t>
    </r>
    <r>
      <rPr>
        <vertAlign val="subscript"/>
        <sz val="11"/>
        <color theme="1"/>
        <rFont val="Calibri"/>
        <family val="2"/>
        <scheme val="minor"/>
      </rPr>
      <t>8</t>
    </r>
  </si>
  <si>
    <r>
      <t>F</t>
    </r>
    <r>
      <rPr>
        <vertAlign val="subscript"/>
        <sz val="11"/>
        <color theme="1"/>
        <rFont val="Calibri"/>
        <family val="2"/>
        <scheme val="minor"/>
      </rPr>
      <t>8</t>
    </r>
  </si>
  <si>
    <r>
      <t> F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/G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 </t>
    </r>
  </si>
  <si>
    <r>
      <t>G</t>
    </r>
    <r>
      <rPr>
        <vertAlign val="subscript"/>
        <sz val="11"/>
        <color theme="1"/>
        <rFont val="Calibri"/>
        <family val="2"/>
        <scheme val="minor"/>
      </rPr>
      <t>8</t>
    </r>
  </si>
  <si>
    <r>
      <t> G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/A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 </t>
    </r>
  </si>
  <si>
    <r>
      <t>A</t>
    </r>
    <r>
      <rPr>
        <vertAlign val="subscript"/>
        <sz val="11"/>
        <color theme="1"/>
        <rFont val="Calibri"/>
        <family val="2"/>
        <scheme val="minor"/>
      </rPr>
      <t>8</t>
    </r>
  </si>
  <si>
    <r>
      <t> A</t>
    </r>
    <r>
      <rPr>
        <vertAlign val="superscript"/>
        <sz val="11"/>
        <color theme="1"/>
        <rFont val="Calibri"/>
        <family val="2"/>
        <scheme val="minor"/>
      </rPr>
      <t>#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/B</t>
    </r>
    <r>
      <rPr>
        <vertAlign val="superscript"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 </t>
    </r>
  </si>
  <si>
    <r>
      <t>B</t>
    </r>
    <r>
      <rPr>
        <vertAlign val="subscript"/>
        <sz val="11"/>
        <color theme="1"/>
        <rFont val="Calibri"/>
        <family val="2"/>
        <scheme val="minor"/>
      </rPr>
      <t>8</t>
    </r>
  </si>
  <si>
    <t>C0</t>
  </si>
  <si>
    <t>D0</t>
  </si>
  <si>
    <t>E0</t>
  </si>
  <si>
    <t>F0</t>
  </si>
  <si>
    <t>G0</t>
  </si>
  <si>
    <t>A0</t>
  </si>
  <si>
    <t>B0</t>
  </si>
  <si>
    <t>C1</t>
  </si>
  <si>
    <t>D1</t>
  </si>
  <si>
    <t>E1</t>
  </si>
  <si>
    <t>F1</t>
  </si>
  <si>
    <t>G1</t>
  </si>
  <si>
    <t>A1</t>
  </si>
  <si>
    <t>B1</t>
  </si>
  <si>
    <t>C2</t>
  </si>
  <si>
    <t>D2</t>
  </si>
  <si>
    <t>E2</t>
  </si>
  <si>
    <t>F2</t>
  </si>
  <si>
    <t> C#0/Db0 </t>
  </si>
  <si>
    <t> D#0/Eb0 </t>
  </si>
  <si>
    <t> F#0/Gb0 </t>
  </si>
  <si>
    <t> G#0/Ab0 </t>
  </si>
  <si>
    <t> A#0/Bb0 </t>
  </si>
  <si>
    <t> C#1/Db1 </t>
  </si>
  <si>
    <t> D#1/Eb1 </t>
  </si>
  <si>
    <t> F#1/Gb1 </t>
  </si>
  <si>
    <t> G#1/Ab1 </t>
  </si>
  <si>
    <t> A#1/Bb1 </t>
  </si>
  <si>
    <t> C#2/Db2 </t>
  </si>
  <si>
    <t> D#2/Eb2 </t>
  </si>
  <si>
    <t> F#2/Gb2 </t>
  </si>
  <si>
    <t>G2</t>
  </si>
  <si>
    <t> G#2/Ab2 </t>
  </si>
  <si>
    <t>A2</t>
  </si>
  <si>
    <t> A#2/Bb2 </t>
  </si>
  <si>
    <t>B2</t>
  </si>
  <si>
    <t>C3</t>
  </si>
  <si>
    <t> C#3/Db3 </t>
  </si>
  <si>
    <t>D3</t>
  </si>
  <si>
    <t> D#3/Eb3 </t>
  </si>
  <si>
    <t>E3</t>
  </si>
  <si>
    <t>F3</t>
  </si>
  <si>
    <t> F#3/Gb3 </t>
  </si>
  <si>
    <t>G3</t>
  </si>
  <si>
    <t> G#3/Ab3 </t>
  </si>
  <si>
    <t>A3</t>
  </si>
  <si>
    <t> A#3/Bb3 </t>
  </si>
  <si>
    <t>B3</t>
  </si>
  <si>
    <t>C4</t>
  </si>
  <si>
    <t> C#4/Db4 </t>
  </si>
  <si>
    <t>D4</t>
  </si>
  <si>
    <t> D#4/Eb4 </t>
  </si>
  <si>
    <t>E4</t>
  </si>
  <si>
    <t>F4</t>
  </si>
  <si>
    <t> F#4/Gb4 </t>
  </si>
  <si>
    <t>G4</t>
  </si>
  <si>
    <t> G#4/Ab4 </t>
  </si>
  <si>
    <t>A4</t>
  </si>
  <si>
    <t> A#4/Bb4 </t>
  </si>
  <si>
    <t>B4</t>
  </si>
  <si>
    <t>C5</t>
  </si>
  <si>
    <t> C#5/Db5 </t>
  </si>
  <si>
    <t>D5</t>
  </si>
  <si>
    <t> D#5/Eb5 </t>
  </si>
  <si>
    <t>E5</t>
  </si>
  <si>
    <t>F5</t>
  </si>
  <si>
    <t> F#5/Gb5 </t>
  </si>
  <si>
    <t>G5</t>
  </si>
  <si>
    <t> G#5/Ab5 </t>
  </si>
  <si>
    <t>A5</t>
  </si>
  <si>
    <t> A#5/Bb5 </t>
  </si>
  <si>
    <t>B5</t>
  </si>
  <si>
    <t>C6</t>
  </si>
  <si>
    <t> C#6/Db6 </t>
  </si>
  <si>
    <t>D6</t>
  </si>
  <si>
    <t> D#6/Eb6 </t>
  </si>
  <si>
    <t>E6</t>
  </si>
  <si>
    <t>F6</t>
  </si>
  <si>
    <t> F#6/Gb6 </t>
  </si>
  <si>
    <t>G6</t>
  </si>
  <si>
    <t> G#6/Ab6 </t>
  </si>
  <si>
    <t>A6</t>
  </si>
  <si>
    <t> A#6/Bb6 </t>
  </si>
  <si>
    <t>B6</t>
  </si>
  <si>
    <t>C7</t>
  </si>
  <si>
    <t> C#7/Db7 </t>
  </si>
  <si>
    <t>D7</t>
  </si>
  <si>
    <t> D#7/Eb7 </t>
  </si>
  <si>
    <t>E7</t>
  </si>
  <si>
    <t>F7</t>
  </si>
  <si>
    <t> F#7/Gb7 </t>
  </si>
  <si>
    <t>G7</t>
  </si>
  <si>
    <t> G#7/Ab7 </t>
  </si>
  <si>
    <t>A7</t>
  </si>
  <si>
    <t> A#7/Bb7 </t>
  </si>
  <si>
    <t>B7</t>
  </si>
  <si>
    <t>C8</t>
  </si>
  <si>
    <t> C#8/Db8 </t>
  </si>
  <si>
    <t>D8</t>
  </si>
  <si>
    <t> D#8/Eb8 </t>
  </si>
  <si>
    <t>E8</t>
  </si>
  <si>
    <t>F8</t>
  </si>
  <si>
    <t> F#8/Gb8 </t>
  </si>
  <si>
    <t>G8</t>
  </si>
  <si>
    <t> G#8/Ab8 </t>
  </si>
  <si>
    <t>A8</t>
  </si>
  <si>
    <t> A#8/Bb8 </t>
  </si>
  <si>
    <t>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</si>
</sst>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2A10-5D9E-4595-A92C-72CD92D41507}">
  <dimension ref="A1:G109"/>
  <sheetViews>
    <sheetView tabSelected="1" workbookViewId="0">
      <selection activeCell="H3" sqref="H3"/>
    </sheetView>
  </sheetViews>
  <sheetFormatPr defaultRowHeight="15" x14ac:dyDescent="0.25"/>
  <cols>
    <col min="1" max="1" width="8.140625" bestFit="1" customWidth="1"/>
    <col min="2" max="2" width="10.28515625" bestFit="1" customWidth="1"/>
    <col min="3" max="3" width="11.85546875" bestFit="1" customWidth="1"/>
    <col min="6" max="6" width="21.5703125" bestFit="1" customWidth="1"/>
    <col min="7" max="7" width="34.5703125" customWidth="1"/>
  </cols>
  <sheetData>
    <row r="1" spans="1:7" ht="30" x14ac:dyDescent="0.25">
      <c r="A1" s="2" t="s">
        <v>0</v>
      </c>
      <c r="B1" s="2" t="s">
        <v>1</v>
      </c>
      <c r="C1" s="2" t="s">
        <v>2</v>
      </c>
    </row>
    <row r="2" spans="1:7" ht="18" x14ac:dyDescent="0.25">
      <c r="A2" s="1" t="s">
        <v>3</v>
      </c>
      <c r="B2" s="1">
        <v>16.350000000000001</v>
      </c>
      <c r="C2" s="1">
        <v>2109.89</v>
      </c>
      <c r="D2" t="s">
        <v>111</v>
      </c>
      <c r="E2">
        <f>ROUND(B2,0)</f>
        <v>16</v>
      </c>
      <c r="F2" t="str">
        <f>SUBSTITUTE(SUBSTITUTE(SUBSTITUTE(D2, "#", "Sharp"), "b", "Flat"), "/", "") &amp; " = " &amp;E2&amp;","</f>
        <v>C0 = 16,</v>
      </c>
      <c r="G2" t="str">
        <f>"public const float " &amp; SUBSTITUTE(SUBSTITUTE(SUBSTITUTE(D2, "#", "Sharp"), "b", "Flat"), "/", "") &amp; " = " &amp;B2&amp;"f;"</f>
        <v>public const float C0 = 16.35f;</v>
      </c>
    </row>
    <row r="3" spans="1:7" ht="18.75" x14ac:dyDescent="0.25">
      <c r="A3" s="1" t="s">
        <v>4</v>
      </c>
      <c r="B3" s="1">
        <v>17.32</v>
      </c>
      <c r="C3" s="1">
        <v>1991.47</v>
      </c>
      <c r="D3" t="s">
        <v>129</v>
      </c>
      <c r="E3">
        <f>ROUND(B3,0)</f>
        <v>17</v>
      </c>
      <c r="F3" t="str">
        <f t="shared" ref="F3:F66" si="0">SUBSTITUTE(SUBSTITUTE(SUBSTITUTE(D3, "#", "Sharp"), "b", "Flat"), "/", "") &amp; " = " &amp;E3&amp;","</f>
        <v> CSharp0DFlat0  = 17,</v>
      </c>
      <c r="G3" t="str">
        <f t="shared" ref="G3:G66" si="1">"public const float " &amp; SUBSTITUTE(SUBSTITUTE(SUBSTITUTE(D3, "#", "Sharp"), "b", "Flat"), "/", "") &amp; " = " &amp;B3&amp;"f;"</f>
        <v>public const float  CSharp0DFlat0  = 17.32f;</v>
      </c>
    </row>
    <row r="4" spans="1:7" ht="18" x14ac:dyDescent="0.25">
      <c r="A4" s="1" t="s">
        <v>5</v>
      </c>
      <c r="B4" s="1">
        <v>18.350000000000001</v>
      </c>
      <c r="C4" s="1">
        <v>1879.69</v>
      </c>
      <c r="D4" t="s">
        <v>112</v>
      </c>
      <c r="E4">
        <f>ROUND(B4,0)</f>
        <v>18</v>
      </c>
      <c r="F4" t="str">
        <f t="shared" si="0"/>
        <v>D0 = 18,</v>
      </c>
      <c r="G4" t="str">
        <f t="shared" si="1"/>
        <v>public const float D0 = 18.35f;</v>
      </c>
    </row>
    <row r="5" spans="1:7" ht="18.75" x14ac:dyDescent="0.25">
      <c r="A5" s="1" t="s">
        <v>6</v>
      </c>
      <c r="B5" s="1">
        <v>19.45</v>
      </c>
      <c r="C5" s="1">
        <v>1774.2</v>
      </c>
      <c r="D5" t="s">
        <v>130</v>
      </c>
      <c r="E5">
        <f>ROUND(B5,0)</f>
        <v>19</v>
      </c>
      <c r="F5" t="str">
        <f t="shared" si="0"/>
        <v> DSharp0EFlat0  = 19,</v>
      </c>
      <c r="G5" t="str">
        <f t="shared" si="1"/>
        <v>public const float  DSharp0EFlat0  = 19.45f;</v>
      </c>
    </row>
    <row r="6" spans="1:7" ht="18" x14ac:dyDescent="0.25">
      <c r="A6" s="1" t="s">
        <v>7</v>
      </c>
      <c r="B6" s="1">
        <v>20.6</v>
      </c>
      <c r="C6" s="1">
        <v>1674.62</v>
      </c>
      <c r="D6" t="s">
        <v>113</v>
      </c>
      <c r="E6">
        <f>ROUND(B6,0)</f>
        <v>21</v>
      </c>
      <c r="F6" t="str">
        <f t="shared" si="0"/>
        <v>E0 = 21,</v>
      </c>
      <c r="G6" t="str">
        <f t="shared" si="1"/>
        <v>public const float E0 = 20.6f;</v>
      </c>
    </row>
    <row r="7" spans="1:7" ht="18" x14ac:dyDescent="0.25">
      <c r="A7" s="1" t="s">
        <v>8</v>
      </c>
      <c r="B7" s="1">
        <v>21.83</v>
      </c>
      <c r="C7" s="1">
        <v>1580.63</v>
      </c>
      <c r="D7" t="s">
        <v>114</v>
      </c>
      <c r="E7">
        <f>ROUND(B7,0)</f>
        <v>22</v>
      </c>
      <c r="F7" t="str">
        <f t="shared" si="0"/>
        <v>F0 = 22,</v>
      </c>
      <c r="G7" t="str">
        <f t="shared" si="1"/>
        <v>public const float F0 = 21.83f;</v>
      </c>
    </row>
    <row r="8" spans="1:7" ht="18.75" x14ac:dyDescent="0.25">
      <c r="A8" s="1" t="s">
        <v>9</v>
      </c>
      <c r="B8" s="1">
        <v>23.12</v>
      </c>
      <c r="C8" s="1">
        <v>1491.91</v>
      </c>
      <c r="D8" t="s">
        <v>131</v>
      </c>
      <c r="E8">
        <f>ROUND(B8,0)</f>
        <v>23</v>
      </c>
      <c r="F8" t="str">
        <f t="shared" si="0"/>
        <v> FSharp0GFlat0  = 23,</v>
      </c>
      <c r="G8" t="str">
        <f t="shared" si="1"/>
        <v>public const float  FSharp0GFlat0  = 23.12f;</v>
      </c>
    </row>
    <row r="9" spans="1:7" ht="18" x14ac:dyDescent="0.25">
      <c r="A9" s="1" t="s">
        <v>10</v>
      </c>
      <c r="B9" s="1">
        <v>24.5</v>
      </c>
      <c r="C9" s="1">
        <v>1408.18</v>
      </c>
      <c r="D9" t="s">
        <v>115</v>
      </c>
      <c r="E9">
        <f>ROUND(B9,0)</f>
        <v>25</v>
      </c>
      <c r="F9" t="str">
        <f t="shared" si="0"/>
        <v>G0 = 25,</v>
      </c>
      <c r="G9" t="str">
        <f t="shared" si="1"/>
        <v>public const float G0 = 24.5f;</v>
      </c>
    </row>
    <row r="10" spans="1:7" ht="18.75" x14ac:dyDescent="0.25">
      <c r="A10" s="1" t="s">
        <v>11</v>
      </c>
      <c r="B10" s="1">
        <v>25.96</v>
      </c>
      <c r="C10" s="1">
        <v>1329.14</v>
      </c>
      <c r="D10" t="s">
        <v>132</v>
      </c>
      <c r="E10">
        <f>ROUND(B10,0)</f>
        <v>26</v>
      </c>
      <c r="F10" t="str">
        <f t="shared" si="0"/>
        <v> GSharp0AFlat0  = 26,</v>
      </c>
      <c r="G10" t="str">
        <f t="shared" si="1"/>
        <v>public const float  GSharp0AFlat0  = 25.96f;</v>
      </c>
    </row>
    <row r="11" spans="1:7" ht="18" x14ac:dyDescent="0.25">
      <c r="A11" s="1" t="s">
        <v>12</v>
      </c>
      <c r="B11" s="1">
        <v>27.5</v>
      </c>
      <c r="C11" s="1">
        <v>1254.55</v>
      </c>
      <c r="D11" t="s">
        <v>116</v>
      </c>
      <c r="E11">
        <f>ROUND(B11,0)</f>
        <v>28</v>
      </c>
      <c r="F11" t="str">
        <f t="shared" si="0"/>
        <v>A0 = 28,</v>
      </c>
      <c r="G11" t="str">
        <f t="shared" si="1"/>
        <v>public const float A0 = 27.5f;</v>
      </c>
    </row>
    <row r="12" spans="1:7" ht="18.75" x14ac:dyDescent="0.25">
      <c r="A12" s="1" t="s">
        <v>13</v>
      </c>
      <c r="B12" s="1">
        <v>29.14</v>
      </c>
      <c r="C12" s="1">
        <v>1184.1300000000001</v>
      </c>
      <c r="D12" t="s">
        <v>133</v>
      </c>
      <c r="E12">
        <f>ROUND(B12,0)</f>
        <v>29</v>
      </c>
      <c r="F12" t="str">
        <f t="shared" si="0"/>
        <v> ASharp0BFlat0  = 29,</v>
      </c>
      <c r="G12" t="str">
        <f t="shared" si="1"/>
        <v>public const float  ASharp0BFlat0  = 29.14f;</v>
      </c>
    </row>
    <row r="13" spans="1:7" ht="18" x14ac:dyDescent="0.25">
      <c r="A13" s="1" t="s">
        <v>14</v>
      </c>
      <c r="B13" s="1">
        <v>30.87</v>
      </c>
      <c r="C13" s="1">
        <v>1117.67</v>
      </c>
      <c r="D13" t="s">
        <v>117</v>
      </c>
      <c r="E13">
        <f>ROUND(B13,0)</f>
        <v>31</v>
      </c>
      <c r="F13" t="str">
        <f t="shared" si="0"/>
        <v>B0 = 31,</v>
      </c>
      <c r="G13" t="str">
        <f t="shared" si="1"/>
        <v>public const float B0 = 30.87f;</v>
      </c>
    </row>
    <row r="14" spans="1:7" ht="18" x14ac:dyDescent="0.25">
      <c r="A14" s="1" t="s">
        <v>15</v>
      </c>
      <c r="B14" s="1">
        <v>32.700000000000003</v>
      </c>
      <c r="C14" s="1">
        <v>1054.94</v>
      </c>
      <c r="D14" t="s">
        <v>118</v>
      </c>
      <c r="E14">
        <f>ROUND(B14,0)</f>
        <v>33</v>
      </c>
      <c r="F14" t="str">
        <f t="shared" si="0"/>
        <v>C1 = 33,</v>
      </c>
      <c r="G14" t="str">
        <f t="shared" si="1"/>
        <v>public const float C1 = 32.7f;</v>
      </c>
    </row>
    <row r="15" spans="1:7" ht="18.75" x14ac:dyDescent="0.25">
      <c r="A15" s="1" t="s">
        <v>16</v>
      </c>
      <c r="B15" s="1">
        <v>34.65</v>
      </c>
      <c r="C15" s="1">
        <v>995.73</v>
      </c>
      <c r="D15" t="s">
        <v>134</v>
      </c>
      <c r="E15">
        <f>ROUND(B15,0)</f>
        <v>35</v>
      </c>
      <c r="F15" t="str">
        <f t="shared" si="0"/>
        <v> CSharp1DFlat1  = 35,</v>
      </c>
      <c r="G15" t="str">
        <f t="shared" si="1"/>
        <v>public const float  CSharp1DFlat1  = 34.65f;</v>
      </c>
    </row>
    <row r="16" spans="1:7" ht="18" x14ac:dyDescent="0.25">
      <c r="A16" s="1" t="s">
        <v>17</v>
      </c>
      <c r="B16" s="1">
        <v>36.71</v>
      </c>
      <c r="C16" s="1">
        <v>939.85</v>
      </c>
      <c r="D16" t="s">
        <v>119</v>
      </c>
      <c r="E16">
        <f>ROUND(B16,0)</f>
        <v>37</v>
      </c>
      <c r="F16" t="str">
        <f t="shared" si="0"/>
        <v>D1 = 37,</v>
      </c>
      <c r="G16" t="str">
        <f t="shared" si="1"/>
        <v>public const float D1 = 36.71f;</v>
      </c>
    </row>
    <row r="17" spans="1:7" ht="18.75" x14ac:dyDescent="0.25">
      <c r="A17" s="1" t="s">
        <v>18</v>
      </c>
      <c r="B17" s="1">
        <v>38.89</v>
      </c>
      <c r="C17" s="1">
        <v>887.1</v>
      </c>
      <c r="D17" t="s">
        <v>135</v>
      </c>
      <c r="E17">
        <f>ROUND(B17,0)</f>
        <v>39</v>
      </c>
      <c r="F17" t="str">
        <f t="shared" si="0"/>
        <v> DSharp1EFlat1  = 39,</v>
      </c>
      <c r="G17" t="str">
        <f t="shared" si="1"/>
        <v>public const float  DSharp1EFlat1  = 38.89f;</v>
      </c>
    </row>
    <row r="18" spans="1:7" ht="18" x14ac:dyDescent="0.25">
      <c r="A18" s="1" t="s">
        <v>19</v>
      </c>
      <c r="B18" s="1">
        <v>41.2</v>
      </c>
      <c r="C18" s="1">
        <v>837.31</v>
      </c>
      <c r="D18" t="s">
        <v>120</v>
      </c>
      <c r="E18">
        <f>ROUND(B18,0)</f>
        <v>41</v>
      </c>
      <c r="F18" t="str">
        <f t="shared" si="0"/>
        <v>E1 = 41,</v>
      </c>
      <c r="G18" t="str">
        <f t="shared" si="1"/>
        <v>public const float E1 = 41.2f;</v>
      </c>
    </row>
    <row r="19" spans="1:7" ht="18" x14ac:dyDescent="0.25">
      <c r="A19" s="1" t="s">
        <v>20</v>
      </c>
      <c r="B19" s="1">
        <v>43.65</v>
      </c>
      <c r="C19" s="1">
        <v>790.31</v>
      </c>
      <c r="D19" t="s">
        <v>121</v>
      </c>
      <c r="E19">
        <f>ROUND(B19,0)</f>
        <v>44</v>
      </c>
      <c r="F19" t="str">
        <f t="shared" si="0"/>
        <v>F1 = 44,</v>
      </c>
      <c r="G19" t="str">
        <f t="shared" si="1"/>
        <v>public const float F1 = 43.65f;</v>
      </c>
    </row>
    <row r="20" spans="1:7" ht="18.75" x14ac:dyDescent="0.25">
      <c r="A20" s="1" t="s">
        <v>21</v>
      </c>
      <c r="B20" s="1">
        <v>46.25</v>
      </c>
      <c r="C20" s="1">
        <v>745.96</v>
      </c>
      <c r="D20" t="s">
        <v>136</v>
      </c>
      <c r="E20">
        <f>ROUND(B20,0)</f>
        <v>46</v>
      </c>
      <c r="F20" t="str">
        <f t="shared" si="0"/>
        <v> FSharp1GFlat1  = 46,</v>
      </c>
      <c r="G20" t="str">
        <f t="shared" si="1"/>
        <v>public const float  FSharp1GFlat1  = 46.25f;</v>
      </c>
    </row>
    <row r="21" spans="1:7" ht="18" x14ac:dyDescent="0.25">
      <c r="A21" s="1" t="s">
        <v>22</v>
      </c>
      <c r="B21" s="1">
        <v>49</v>
      </c>
      <c r="C21" s="1">
        <v>704.09</v>
      </c>
      <c r="D21" t="s">
        <v>122</v>
      </c>
      <c r="E21">
        <f>ROUND(B21,0)</f>
        <v>49</v>
      </c>
      <c r="F21" t="str">
        <f t="shared" si="0"/>
        <v>G1 = 49,</v>
      </c>
      <c r="G21" t="str">
        <f t="shared" si="1"/>
        <v>public const float G1 = 49f;</v>
      </c>
    </row>
    <row r="22" spans="1:7" ht="18.75" x14ac:dyDescent="0.25">
      <c r="A22" s="1" t="s">
        <v>23</v>
      </c>
      <c r="B22" s="1">
        <v>51.91</v>
      </c>
      <c r="C22" s="1">
        <v>664.57</v>
      </c>
      <c r="D22" t="s">
        <v>137</v>
      </c>
      <c r="E22">
        <f>ROUND(B22,0)</f>
        <v>52</v>
      </c>
      <c r="F22" t="str">
        <f t="shared" si="0"/>
        <v> GSharp1AFlat1  = 52,</v>
      </c>
      <c r="G22" t="str">
        <f t="shared" si="1"/>
        <v>public const float  GSharp1AFlat1  = 51.91f;</v>
      </c>
    </row>
    <row r="23" spans="1:7" ht="18" x14ac:dyDescent="0.25">
      <c r="A23" s="1" t="s">
        <v>24</v>
      </c>
      <c r="B23" s="1">
        <v>55</v>
      </c>
      <c r="C23" s="1">
        <v>627.27</v>
      </c>
      <c r="D23" t="s">
        <v>123</v>
      </c>
      <c r="E23">
        <f>ROUND(B23,0)</f>
        <v>55</v>
      </c>
      <c r="F23" t="str">
        <f t="shared" si="0"/>
        <v>A1 = 55,</v>
      </c>
      <c r="G23" t="str">
        <f t="shared" si="1"/>
        <v>public const float A1 = 55f;</v>
      </c>
    </row>
    <row r="24" spans="1:7" ht="18.75" x14ac:dyDescent="0.25">
      <c r="A24" s="1" t="s">
        <v>25</v>
      </c>
      <c r="B24" s="1">
        <v>58.27</v>
      </c>
      <c r="C24" s="1">
        <v>592.07000000000005</v>
      </c>
      <c r="D24" t="s">
        <v>138</v>
      </c>
      <c r="E24">
        <f>ROUND(B24,0)</f>
        <v>58</v>
      </c>
      <c r="F24" t="str">
        <f t="shared" si="0"/>
        <v> ASharp1BFlat1  = 58,</v>
      </c>
      <c r="G24" t="str">
        <f t="shared" si="1"/>
        <v>public const float  ASharp1BFlat1  = 58.27f;</v>
      </c>
    </row>
    <row r="25" spans="1:7" ht="18" x14ac:dyDescent="0.25">
      <c r="A25" s="1" t="s">
        <v>26</v>
      </c>
      <c r="B25" s="1">
        <v>61.74</v>
      </c>
      <c r="C25" s="1">
        <v>558.84</v>
      </c>
      <c r="D25" t="s">
        <v>124</v>
      </c>
      <c r="E25">
        <f>ROUND(B25,0)</f>
        <v>62</v>
      </c>
      <c r="F25" t="str">
        <f t="shared" si="0"/>
        <v>B1 = 62,</v>
      </c>
      <c r="G25" t="str">
        <f t="shared" si="1"/>
        <v>public const float B1 = 61.74f;</v>
      </c>
    </row>
    <row r="26" spans="1:7" ht="18" x14ac:dyDescent="0.25">
      <c r="A26" s="1" t="s">
        <v>27</v>
      </c>
      <c r="B26" s="1">
        <v>65.41</v>
      </c>
      <c r="C26" s="1">
        <v>527.47</v>
      </c>
      <c r="D26" t="s">
        <v>125</v>
      </c>
      <c r="E26">
        <f>ROUND(B26,0)</f>
        <v>65</v>
      </c>
      <c r="F26" t="str">
        <f t="shared" si="0"/>
        <v>C2 = 65,</v>
      </c>
      <c r="G26" t="str">
        <f t="shared" si="1"/>
        <v>public const float C2 = 65.41f;</v>
      </c>
    </row>
    <row r="27" spans="1:7" ht="18.75" x14ac:dyDescent="0.25">
      <c r="A27" s="1" t="s">
        <v>28</v>
      </c>
      <c r="B27" s="1">
        <v>69.3</v>
      </c>
      <c r="C27" s="1">
        <v>497.87</v>
      </c>
      <c r="D27" t="s">
        <v>139</v>
      </c>
      <c r="E27">
        <f>ROUND(B27,0)</f>
        <v>69</v>
      </c>
      <c r="F27" t="str">
        <f t="shared" si="0"/>
        <v> CSharp2DFlat2  = 69,</v>
      </c>
      <c r="G27" t="str">
        <f t="shared" si="1"/>
        <v>public const float  CSharp2DFlat2  = 69.3f;</v>
      </c>
    </row>
    <row r="28" spans="1:7" ht="18" x14ac:dyDescent="0.25">
      <c r="A28" s="1" t="s">
        <v>29</v>
      </c>
      <c r="B28" s="1">
        <v>73.42</v>
      </c>
      <c r="C28" s="1">
        <v>469.92</v>
      </c>
      <c r="D28" t="s">
        <v>126</v>
      </c>
      <c r="E28">
        <f>ROUND(B28,0)</f>
        <v>73</v>
      </c>
      <c r="F28" t="str">
        <f t="shared" si="0"/>
        <v>D2 = 73,</v>
      </c>
      <c r="G28" t="str">
        <f t="shared" si="1"/>
        <v>public const float D2 = 73.42f;</v>
      </c>
    </row>
    <row r="29" spans="1:7" ht="18.75" x14ac:dyDescent="0.25">
      <c r="A29" s="1" t="s">
        <v>30</v>
      </c>
      <c r="B29" s="1">
        <v>77.78</v>
      </c>
      <c r="C29" s="1">
        <v>443.55</v>
      </c>
      <c r="D29" t="s">
        <v>140</v>
      </c>
      <c r="E29">
        <f>ROUND(B29,0)</f>
        <v>78</v>
      </c>
      <c r="F29" t="str">
        <f t="shared" si="0"/>
        <v> DSharp2EFlat2  = 78,</v>
      </c>
      <c r="G29" t="str">
        <f t="shared" si="1"/>
        <v>public const float  DSharp2EFlat2  = 77.78f;</v>
      </c>
    </row>
    <row r="30" spans="1:7" ht="18" x14ac:dyDescent="0.25">
      <c r="A30" s="1" t="s">
        <v>31</v>
      </c>
      <c r="B30" s="1">
        <v>82.41</v>
      </c>
      <c r="C30" s="1">
        <v>418.65</v>
      </c>
      <c r="D30" t="s">
        <v>127</v>
      </c>
      <c r="E30">
        <f>ROUND(B30,0)</f>
        <v>82</v>
      </c>
      <c r="F30" t="str">
        <f t="shared" si="0"/>
        <v>E2 = 82,</v>
      </c>
      <c r="G30" t="str">
        <f t="shared" si="1"/>
        <v>public const float E2 = 82.41f;</v>
      </c>
    </row>
    <row r="31" spans="1:7" ht="18" x14ac:dyDescent="0.25">
      <c r="A31" s="1" t="s">
        <v>32</v>
      </c>
      <c r="B31" s="1">
        <v>87.31</v>
      </c>
      <c r="C31" s="1">
        <v>395.16</v>
      </c>
      <c r="D31" t="s">
        <v>128</v>
      </c>
      <c r="E31">
        <f>ROUND(B31,0)</f>
        <v>87</v>
      </c>
      <c r="F31" t="str">
        <f t="shared" si="0"/>
        <v>F2 = 87,</v>
      </c>
      <c r="G31" t="str">
        <f t="shared" si="1"/>
        <v>public const float F2 = 87.31f;</v>
      </c>
    </row>
    <row r="32" spans="1:7" ht="18.75" x14ac:dyDescent="0.25">
      <c r="A32" s="1" t="s">
        <v>33</v>
      </c>
      <c r="B32" s="1">
        <v>92.5</v>
      </c>
      <c r="C32" s="1">
        <v>372.98</v>
      </c>
      <c r="D32" t="s">
        <v>141</v>
      </c>
      <c r="E32">
        <f>ROUND(B32,0)</f>
        <v>93</v>
      </c>
      <c r="F32" t="str">
        <f t="shared" si="0"/>
        <v> FSharp2GFlat2  = 93,</v>
      </c>
      <c r="G32" t="str">
        <f t="shared" si="1"/>
        <v>public const float  FSharp2GFlat2  = 92.5f;</v>
      </c>
    </row>
    <row r="33" spans="1:7" ht="18" x14ac:dyDescent="0.25">
      <c r="A33" s="1" t="s">
        <v>34</v>
      </c>
      <c r="B33" s="1">
        <v>98</v>
      </c>
      <c r="C33" s="1">
        <v>352.04</v>
      </c>
      <c r="D33" t="s">
        <v>142</v>
      </c>
      <c r="E33">
        <f>ROUND(B33,0)</f>
        <v>98</v>
      </c>
      <c r="F33" t="str">
        <f t="shared" si="0"/>
        <v>G2 = 98,</v>
      </c>
      <c r="G33" t="str">
        <f t="shared" si="1"/>
        <v>public const float G2 = 98f;</v>
      </c>
    </row>
    <row r="34" spans="1:7" ht="18.75" x14ac:dyDescent="0.25">
      <c r="A34" s="1" t="s">
        <v>35</v>
      </c>
      <c r="B34" s="1">
        <v>103.83</v>
      </c>
      <c r="C34" s="1">
        <v>332.29</v>
      </c>
      <c r="D34" t="s">
        <v>143</v>
      </c>
      <c r="E34">
        <f>ROUND(B34,0)</f>
        <v>104</v>
      </c>
      <c r="F34" t="str">
        <f t="shared" si="0"/>
        <v> GSharp2AFlat2  = 104,</v>
      </c>
      <c r="G34" t="str">
        <f t="shared" si="1"/>
        <v>public const float  GSharp2AFlat2  = 103.83f;</v>
      </c>
    </row>
    <row r="35" spans="1:7" ht="18" x14ac:dyDescent="0.25">
      <c r="A35" s="1" t="s">
        <v>36</v>
      </c>
      <c r="B35" s="1">
        <v>110</v>
      </c>
      <c r="C35" s="1">
        <v>313.64</v>
      </c>
      <c r="D35" t="s">
        <v>144</v>
      </c>
      <c r="E35">
        <f>ROUND(B35,0)</f>
        <v>110</v>
      </c>
      <c r="F35" t="str">
        <f t="shared" si="0"/>
        <v>A2 = 110,</v>
      </c>
      <c r="G35" t="str">
        <f t="shared" si="1"/>
        <v>public const float A2 = 110f;</v>
      </c>
    </row>
    <row r="36" spans="1:7" ht="18.75" x14ac:dyDescent="0.25">
      <c r="A36" s="1" t="s">
        <v>37</v>
      </c>
      <c r="B36" s="1">
        <v>116.54</v>
      </c>
      <c r="C36" s="1">
        <v>296.02999999999997</v>
      </c>
      <c r="D36" t="s">
        <v>145</v>
      </c>
      <c r="E36">
        <f>ROUND(B36,0)</f>
        <v>117</v>
      </c>
      <c r="F36" t="str">
        <f t="shared" si="0"/>
        <v> ASharp2BFlat2  = 117,</v>
      </c>
      <c r="G36" t="str">
        <f t="shared" si="1"/>
        <v>public const float  ASharp2BFlat2  = 116.54f;</v>
      </c>
    </row>
    <row r="37" spans="1:7" ht="18" x14ac:dyDescent="0.25">
      <c r="A37" s="1" t="s">
        <v>38</v>
      </c>
      <c r="B37" s="1">
        <v>123.47</v>
      </c>
      <c r="C37" s="1">
        <v>279.42</v>
      </c>
      <c r="D37" t="s">
        <v>146</v>
      </c>
      <c r="E37">
        <f>ROUND(B37,0)</f>
        <v>123</v>
      </c>
      <c r="F37" t="str">
        <f t="shared" si="0"/>
        <v>B2 = 123,</v>
      </c>
      <c r="G37" t="str">
        <f t="shared" si="1"/>
        <v>public const float B2 = 123.47f;</v>
      </c>
    </row>
    <row r="38" spans="1:7" ht="18" x14ac:dyDescent="0.25">
      <c r="A38" s="1" t="s">
        <v>39</v>
      </c>
      <c r="B38" s="1">
        <v>130.81</v>
      </c>
      <c r="C38" s="1">
        <v>263.74</v>
      </c>
      <c r="D38" t="s">
        <v>147</v>
      </c>
      <c r="E38">
        <f>ROUND(B38,0)</f>
        <v>131</v>
      </c>
      <c r="F38" t="str">
        <f t="shared" si="0"/>
        <v>C3 = 131,</v>
      </c>
      <c r="G38" t="str">
        <f t="shared" si="1"/>
        <v>public const float C3 = 130.81f;</v>
      </c>
    </row>
    <row r="39" spans="1:7" ht="18.75" x14ac:dyDescent="0.25">
      <c r="A39" s="1" t="s">
        <v>40</v>
      </c>
      <c r="B39" s="1">
        <v>138.59</v>
      </c>
      <c r="C39" s="1">
        <v>248.93</v>
      </c>
      <c r="D39" t="s">
        <v>148</v>
      </c>
      <c r="E39">
        <f>ROUND(B39,0)</f>
        <v>139</v>
      </c>
      <c r="F39" t="str">
        <f t="shared" si="0"/>
        <v> CSharp3DFlat3  = 139,</v>
      </c>
      <c r="G39" t="str">
        <f t="shared" si="1"/>
        <v>public const float  CSharp3DFlat3  = 138.59f;</v>
      </c>
    </row>
    <row r="40" spans="1:7" ht="18" x14ac:dyDescent="0.25">
      <c r="A40" s="1" t="s">
        <v>41</v>
      </c>
      <c r="B40" s="1">
        <v>146.83000000000001</v>
      </c>
      <c r="C40" s="1">
        <v>234.96</v>
      </c>
      <c r="D40" t="s">
        <v>149</v>
      </c>
      <c r="E40">
        <f>ROUND(B40,0)</f>
        <v>147</v>
      </c>
      <c r="F40" t="str">
        <f t="shared" si="0"/>
        <v>D3 = 147,</v>
      </c>
      <c r="G40" t="str">
        <f t="shared" si="1"/>
        <v>public const float D3 = 146.83f;</v>
      </c>
    </row>
    <row r="41" spans="1:7" ht="18.75" x14ac:dyDescent="0.25">
      <c r="A41" s="1" t="s">
        <v>42</v>
      </c>
      <c r="B41" s="1">
        <v>155.56</v>
      </c>
      <c r="C41" s="1">
        <v>221.77</v>
      </c>
      <c r="D41" t="s">
        <v>150</v>
      </c>
      <c r="E41">
        <f>ROUND(B41,0)</f>
        <v>156</v>
      </c>
      <c r="F41" t="str">
        <f t="shared" si="0"/>
        <v> DSharp3EFlat3  = 156,</v>
      </c>
      <c r="G41" t="str">
        <f t="shared" si="1"/>
        <v>public const float  DSharp3EFlat3  = 155.56f;</v>
      </c>
    </row>
    <row r="42" spans="1:7" ht="18" x14ac:dyDescent="0.25">
      <c r="A42" s="1" t="s">
        <v>43</v>
      </c>
      <c r="B42" s="1">
        <v>164.81</v>
      </c>
      <c r="C42" s="1">
        <v>209.33</v>
      </c>
      <c r="D42" t="s">
        <v>151</v>
      </c>
      <c r="E42">
        <f>ROUND(B42,0)</f>
        <v>165</v>
      </c>
      <c r="F42" t="str">
        <f t="shared" si="0"/>
        <v>E3 = 165,</v>
      </c>
      <c r="G42" t="str">
        <f t="shared" si="1"/>
        <v>public const float E3 = 164.81f;</v>
      </c>
    </row>
    <row r="43" spans="1:7" ht="18" x14ac:dyDescent="0.25">
      <c r="A43" s="1" t="s">
        <v>44</v>
      </c>
      <c r="B43" s="1">
        <v>174.61</v>
      </c>
      <c r="C43" s="1">
        <v>197.58</v>
      </c>
      <c r="D43" t="s">
        <v>152</v>
      </c>
      <c r="E43">
        <f>ROUND(B43,0)</f>
        <v>175</v>
      </c>
      <c r="F43" t="str">
        <f t="shared" si="0"/>
        <v>F3 = 175,</v>
      </c>
      <c r="G43" t="str">
        <f t="shared" si="1"/>
        <v>public const float F3 = 174.61f;</v>
      </c>
    </row>
    <row r="44" spans="1:7" ht="18.75" x14ac:dyDescent="0.25">
      <c r="A44" s="1" t="s">
        <v>45</v>
      </c>
      <c r="B44" s="1">
        <v>185</v>
      </c>
      <c r="C44" s="1">
        <v>186.49</v>
      </c>
      <c r="D44" t="s">
        <v>153</v>
      </c>
      <c r="E44">
        <f>ROUND(B44,0)</f>
        <v>185</v>
      </c>
      <c r="F44" t="str">
        <f t="shared" si="0"/>
        <v> FSharp3GFlat3  = 185,</v>
      </c>
      <c r="G44" t="str">
        <f t="shared" si="1"/>
        <v>public const float  FSharp3GFlat3  = 185f;</v>
      </c>
    </row>
    <row r="45" spans="1:7" ht="18" x14ac:dyDescent="0.25">
      <c r="A45" s="1" t="s">
        <v>46</v>
      </c>
      <c r="B45" s="1">
        <v>196</v>
      </c>
      <c r="C45" s="1">
        <v>176.02</v>
      </c>
      <c r="D45" t="s">
        <v>154</v>
      </c>
      <c r="E45">
        <f>ROUND(B45,0)</f>
        <v>196</v>
      </c>
      <c r="F45" t="str">
        <f t="shared" si="0"/>
        <v>G3 = 196,</v>
      </c>
      <c r="G45" t="str">
        <f t="shared" si="1"/>
        <v>public const float G3 = 196f;</v>
      </c>
    </row>
    <row r="46" spans="1:7" ht="18.75" x14ac:dyDescent="0.25">
      <c r="A46" s="1" t="s">
        <v>47</v>
      </c>
      <c r="B46" s="1">
        <v>207.65</v>
      </c>
      <c r="C46" s="1">
        <v>166.14</v>
      </c>
      <c r="D46" t="s">
        <v>155</v>
      </c>
      <c r="E46">
        <f>ROUND(B46,0)</f>
        <v>208</v>
      </c>
      <c r="F46" t="str">
        <f t="shared" si="0"/>
        <v> GSharp3AFlat3  = 208,</v>
      </c>
      <c r="G46" t="str">
        <f t="shared" si="1"/>
        <v>public const float  GSharp3AFlat3  = 207.65f;</v>
      </c>
    </row>
    <row r="47" spans="1:7" ht="18" x14ac:dyDescent="0.25">
      <c r="A47" s="1" t="s">
        <v>48</v>
      </c>
      <c r="B47" s="1">
        <v>220</v>
      </c>
      <c r="C47" s="1">
        <v>156.82</v>
      </c>
      <c r="D47" t="s">
        <v>156</v>
      </c>
      <c r="E47">
        <f>ROUND(B47,0)</f>
        <v>220</v>
      </c>
      <c r="F47" t="str">
        <f t="shared" si="0"/>
        <v>A3 = 220,</v>
      </c>
      <c r="G47" t="str">
        <f t="shared" si="1"/>
        <v>public const float A3 = 220f;</v>
      </c>
    </row>
    <row r="48" spans="1:7" ht="18.75" x14ac:dyDescent="0.25">
      <c r="A48" s="1" t="s">
        <v>49</v>
      </c>
      <c r="B48" s="1">
        <v>233.08</v>
      </c>
      <c r="C48" s="1">
        <v>148.02000000000001</v>
      </c>
      <c r="D48" t="s">
        <v>157</v>
      </c>
      <c r="E48">
        <f>ROUND(B48,0)</f>
        <v>233</v>
      </c>
      <c r="F48" t="str">
        <f t="shared" si="0"/>
        <v> ASharp3BFlat3  = 233,</v>
      </c>
      <c r="G48" t="str">
        <f t="shared" si="1"/>
        <v>public const float  ASharp3BFlat3  = 233.08f;</v>
      </c>
    </row>
    <row r="49" spans="1:7" ht="18" x14ac:dyDescent="0.25">
      <c r="A49" s="1" t="s">
        <v>50</v>
      </c>
      <c r="B49" s="1">
        <v>246.94</v>
      </c>
      <c r="C49" s="1">
        <v>139.71</v>
      </c>
      <c r="D49" t="s">
        <v>158</v>
      </c>
      <c r="E49">
        <f>ROUND(B49,0)</f>
        <v>247</v>
      </c>
      <c r="F49" t="str">
        <f t="shared" si="0"/>
        <v>B3 = 247,</v>
      </c>
      <c r="G49" t="str">
        <f t="shared" si="1"/>
        <v>public const float B3 = 246.94f;</v>
      </c>
    </row>
    <row r="50" spans="1:7" ht="18" x14ac:dyDescent="0.25">
      <c r="A50" s="1" t="s">
        <v>51</v>
      </c>
      <c r="B50" s="1">
        <v>261.63</v>
      </c>
      <c r="C50" s="1">
        <v>131.87</v>
      </c>
      <c r="D50" t="s">
        <v>159</v>
      </c>
      <c r="E50">
        <f>ROUND(B50,0)</f>
        <v>262</v>
      </c>
      <c r="F50" t="str">
        <f t="shared" si="0"/>
        <v>C4 = 262,</v>
      </c>
      <c r="G50" t="str">
        <f t="shared" si="1"/>
        <v>public const float C4 = 261.63f;</v>
      </c>
    </row>
    <row r="51" spans="1:7" ht="18.75" x14ac:dyDescent="0.25">
      <c r="A51" s="1" t="s">
        <v>52</v>
      </c>
      <c r="B51" s="1">
        <v>277.18</v>
      </c>
      <c r="C51" s="1">
        <v>124.47</v>
      </c>
      <c r="D51" t="s">
        <v>160</v>
      </c>
      <c r="E51">
        <f>ROUND(B51,0)</f>
        <v>277</v>
      </c>
      <c r="F51" t="str">
        <f t="shared" si="0"/>
        <v> CSharp4DFlat4  = 277,</v>
      </c>
      <c r="G51" t="str">
        <f t="shared" si="1"/>
        <v>public const float  CSharp4DFlat4  = 277.18f;</v>
      </c>
    </row>
    <row r="52" spans="1:7" ht="18" x14ac:dyDescent="0.25">
      <c r="A52" s="1" t="s">
        <v>53</v>
      </c>
      <c r="B52" s="1">
        <v>293.66000000000003</v>
      </c>
      <c r="C52" s="1">
        <v>117.48</v>
      </c>
      <c r="D52" t="s">
        <v>161</v>
      </c>
      <c r="E52">
        <f>ROUND(B52,0)</f>
        <v>294</v>
      </c>
      <c r="F52" t="str">
        <f t="shared" si="0"/>
        <v>D4 = 294,</v>
      </c>
      <c r="G52" t="str">
        <f t="shared" si="1"/>
        <v>public const float D4 = 293.66f;</v>
      </c>
    </row>
    <row r="53" spans="1:7" ht="18.75" x14ac:dyDescent="0.25">
      <c r="A53" s="1" t="s">
        <v>54</v>
      </c>
      <c r="B53" s="1">
        <v>311.13</v>
      </c>
      <c r="C53" s="1">
        <v>110.89</v>
      </c>
      <c r="D53" t="s">
        <v>162</v>
      </c>
      <c r="E53">
        <f>ROUND(B53,0)</f>
        <v>311</v>
      </c>
      <c r="F53" t="str">
        <f t="shared" si="0"/>
        <v> DSharp4EFlat4  = 311,</v>
      </c>
      <c r="G53" t="str">
        <f t="shared" si="1"/>
        <v>public const float  DSharp4EFlat4  = 311.13f;</v>
      </c>
    </row>
    <row r="54" spans="1:7" ht="18" x14ac:dyDescent="0.25">
      <c r="A54" s="1" t="s">
        <v>55</v>
      </c>
      <c r="B54" s="1">
        <v>329.63</v>
      </c>
      <c r="C54" s="1">
        <v>104.66</v>
      </c>
      <c r="D54" t="s">
        <v>163</v>
      </c>
      <c r="E54">
        <f>ROUND(B54,0)</f>
        <v>330</v>
      </c>
      <c r="F54" t="str">
        <f t="shared" si="0"/>
        <v>E4 = 330,</v>
      </c>
      <c r="G54" t="str">
        <f t="shared" si="1"/>
        <v>public const float E4 = 329.63f;</v>
      </c>
    </row>
    <row r="55" spans="1:7" ht="18" x14ac:dyDescent="0.25">
      <c r="A55" s="1" t="s">
        <v>56</v>
      </c>
      <c r="B55" s="1">
        <v>349.23</v>
      </c>
      <c r="C55" s="1">
        <v>98.79</v>
      </c>
      <c r="D55" t="s">
        <v>164</v>
      </c>
      <c r="E55">
        <f>ROUND(B55,0)</f>
        <v>349</v>
      </c>
      <c r="F55" t="str">
        <f t="shared" si="0"/>
        <v>F4 = 349,</v>
      </c>
      <c r="G55" t="str">
        <f t="shared" si="1"/>
        <v>public const float F4 = 349.23f;</v>
      </c>
    </row>
    <row r="56" spans="1:7" ht="18.75" x14ac:dyDescent="0.25">
      <c r="A56" s="1" t="s">
        <v>57</v>
      </c>
      <c r="B56" s="1">
        <v>369.99</v>
      </c>
      <c r="C56" s="1">
        <v>93.24</v>
      </c>
      <c r="D56" t="s">
        <v>165</v>
      </c>
      <c r="E56">
        <f>ROUND(B56,0)</f>
        <v>370</v>
      </c>
      <c r="F56" t="str">
        <f t="shared" si="0"/>
        <v> FSharp4GFlat4  = 370,</v>
      </c>
      <c r="G56" t="str">
        <f t="shared" si="1"/>
        <v>public const float  FSharp4GFlat4  = 369.99f;</v>
      </c>
    </row>
    <row r="57" spans="1:7" ht="18" x14ac:dyDescent="0.25">
      <c r="A57" s="1" t="s">
        <v>58</v>
      </c>
      <c r="B57" s="1">
        <v>392</v>
      </c>
      <c r="C57" s="1">
        <v>88.01</v>
      </c>
      <c r="D57" t="s">
        <v>166</v>
      </c>
      <c r="E57">
        <f>ROUND(B57,0)</f>
        <v>392</v>
      </c>
      <c r="F57" t="str">
        <f t="shared" si="0"/>
        <v>G4 = 392,</v>
      </c>
      <c r="G57" t="str">
        <f t="shared" si="1"/>
        <v>public const float G4 = 392f;</v>
      </c>
    </row>
    <row r="58" spans="1:7" ht="18.75" x14ac:dyDescent="0.25">
      <c r="A58" s="1" t="s">
        <v>59</v>
      </c>
      <c r="B58" s="1">
        <v>415.3</v>
      </c>
      <c r="C58" s="1">
        <v>83.07</v>
      </c>
      <c r="D58" t="s">
        <v>167</v>
      </c>
      <c r="E58">
        <f>ROUND(B58,0)</f>
        <v>415</v>
      </c>
      <c r="F58" t="str">
        <f t="shared" si="0"/>
        <v> GSharp4AFlat4  = 415,</v>
      </c>
      <c r="G58" t="str">
        <f t="shared" si="1"/>
        <v>public const float  GSharp4AFlat4  = 415.3f;</v>
      </c>
    </row>
    <row r="59" spans="1:7" ht="18" x14ac:dyDescent="0.25">
      <c r="A59" s="1" t="s">
        <v>60</v>
      </c>
      <c r="B59" s="1">
        <v>440</v>
      </c>
      <c r="C59" s="1">
        <v>78.41</v>
      </c>
      <c r="D59" t="s">
        <v>168</v>
      </c>
      <c r="E59">
        <f>ROUND(B59,0)</f>
        <v>440</v>
      </c>
      <c r="F59" t="str">
        <f t="shared" si="0"/>
        <v>A4 = 440,</v>
      </c>
      <c r="G59" t="str">
        <f t="shared" si="1"/>
        <v>public const float A4 = 440f;</v>
      </c>
    </row>
    <row r="60" spans="1:7" ht="18.75" x14ac:dyDescent="0.25">
      <c r="A60" s="1" t="s">
        <v>61</v>
      </c>
      <c r="B60" s="1">
        <v>466.16</v>
      </c>
      <c r="C60" s="1">
        <v>74.010000000000005</v>
      </c>
      <c r="D60" t="s">
        <v>169</v>
      </c>
      <c r="E60">
        <f>ROUND(B60,0)</f>
        <v>466</v>
      </c>
      <c r="F60" t="str">
        <f t="shared" si="0"/>
        <v> ASharp4BFlat4  = 466,</v>
      </c>
      <c r="G60" t="str">
        <f t="shared" si="1"/>
        <v>public const float  ASharp4BFlat4  = 466.16f;</v>
      </c>
    </row>
    <row r="61" spans="1:7" ht="18" x14ac:dyDescent="0.25">
      <c r="A61" s="1" t="s">
        <v>62</v>
      </c>
      <c r="B61" s="1">
        <v>493.88</v>
      </c>
      <c r="C61" s="1">
        <v>69.849999999999994</v>
      </c>
      <c r="D61" t="s">
        <v>170</v>
      </c>
      <c r="E61">
        <f>ROUND(B61,0)</f>
        <v>494</v>
      </c>
      <c r="F61" t="str">
        <f t="shared" si="0"/>
        <v>B4 = 494,</v>
      </c>
      <c r="G61" t="str">
        <f t="shared" si="1"/>
        <v>public const float B4 = 493.88f;</v>
      </c>
    </row>
    <row r="62" spans="1:7" ht="18" x14ac:dyDescent="0.25">
      <c r="A62" s="1" t="s">
        <v>63</v>
      </c>
      <c r="B62" s="1">
        <v>523.25</v>
      </c>
      <c r="C62" s="1">
        <v>65.930000000000007</v>
      </c>
      <c r="D62" t="s">
        <v>171</v>
      </c>
      <c r="E62">
        <f>ROUND(B62,0)</f>
        <v>523</v>
      </c>
      <c r="F62" t="str">
        <f t="shared" si="0"/>
        <v>C5 = 523,</v>
      </c>
      <c r="G62" t="str">
        <f t="shared" si="1"/>
        <v>public const float C5 = 523.25f;</v>
      </c>
    </row>
    <row r="63" spans="1:7" ht="18.75" x14ac:dyDescent="0.25">
      <c r="A63" s="1" t="s">
        <v>64</v>
      </c>
      <c r="B63" s="1">
        <v>554.37</v>
      </c>
      <c r="C63" s="1">
        <v>62.23</v>
      </c>
      <c r="D63" t="s">
        <v>172</v>
      </c>
      <c r="E63">
        <f>ROUND(B63,0)</f>
        <v>554</v>
      </c>
      <c r="F63" t="str">
        <f t="shared" si="0"/>
        <v> CSharp5DFlat5  = 554,</v>
      </c>
      <c r="G63" t="str">
        <f t="shared" si="1"/>
        <v>public const float  CSharp5DFlat5  = 554.37f;</v>
      </c>
    </row>
    <row r="64" spans="1:7" ht="18" x14ac:dyDescent="0.25">
      <c r="A64" s="1" t="s">
        <v>65</v>
      </c>
      <c r="B64" s="1">
        <v>587.33000000000004</v>
      </c>
      <c r="C64" s="1">
        <v>58.74</v>
      </c>
      <c r="D64" t="s">
        <v>173</v>
      </c>
      <c r="E64">
        <f>ROUND(B64,0)</f>
        <v>587</v>
      </c>
      <c r="F64" t="str">
        <f t="shared" si="0"/>
        <v>D5 = 587,</v>
      </c>
      <c r="G64" t="str">
        <f t="shared" si="1"/>
        <v>public const float D5 = 587.33f;</v>
      </c>
    </row>
    <row r="65" spans="1:7" ht="18.75" x14ac:dyDescent="0.25">
      <c r="A65" s="1" t="s">
        <v>66</v>
      </c>
      <c r="B65" s="1">
        <v>622.25</v>
      </c>
      <c r="C65" s="1">
        <v>55.44</v>
      </c>
      <c r="D65" t="s">
        <v>174</v>
      </c>
      <c r="E65">
        <f>ROUND(B65,0)</f>
        <v>622</v>
      </c>
      <c r="F65" t="str">
        <f t="shared" si="0"/>
        <v> DSharp5EFlat5  = 622,</v>
      </c>
      <c r="G65" t="str">
        <f t="shared" si="1"/>
        <v>public const float  DSharp5EFlat5  = 622.25f;</v>
      </c>
    </row>
    <row r="66" spans="1:7" ht="18" x14ac:dyDescent="0.25">
      <c r="A66" s="1" t="s">
        <v>67</v>
      </c>
      <c r="B66" s="1">
        <v>659.25</v>
      </c>
      <c r="C66" s="1">
        <v>52.33</v>
      </c>
      <c r="D66" t="s">
        <v>175</v>
      </c>
      <c r="E66">
        <f>ROUND(B66,0)</f>
        <v>659</v>
      </c>
      <c r="F66" t="str">
        <f t="shared" si="0"/>
        <v>E5 = 659,</v>
      </c>
      <c r="G66" t="str">
        <f t="shared" si="1"/>
        <v>public const float E5 = 659.25f;</v>
      </c>
    </row>
    <row r="67" spans="1:7" ht="18" x14ac:dyDescent="0.25">
      <c r="A67" s="1" t="s">
        <v>68</v>
      </c>
      <c r="B67" s="1">
        <v>698.46</v>
      </c>
      <c r="C67" s="1">
        <v>49.39</v>
      </c>
      <c r="D67" t="s">
        <v>176</v>
      </c>
      <c r="E67">
        <f>ROUND(B67,0)</f>
        <v>698</v>
      </c>
      <c r="F67" t="str">
        <f t="shared" ref="F67:F109" si="2">SUBSTITUTE(SUBSTITUTE(SUBSTITUTE(D67, "#", "Sharp"), "b", "Flat"), "/", "") &amp; " = " &amp;E67&amp;","</f>
        <v>F5 = 698,</v>
      </c>
      <c r="G67" t="str">
        <f t="shared" ref="G67:G109" si="3">"public const float " &amp; SUBSTITUTE(SUBSTITUTE(SUBSTITUTE(D67, "#", "Sharp"), "b", "Flat"), "/", "") &amp; " = " &amp;B67&amp;"f;"</f>
        <v>public const float F5 = 698.46f;</v>
      </c>
    </row>
    <row r="68" spans="1:7" ht="18.75" x14ac:dyDescent="0.25">
      <c r="A68" s="1" t="s">
        <v>69</v>
      </c>
      <c r="B68" s="1">
        <v>739.99</v>
      </c>
      <c r="C68" s="1">
        <v>46.62</v>
      </c>
      <c r="D68" t="s">
        <v>177</v>
      </c>
      <c r="E68">
        <f>ROUND(B68,0)</f>
        <v>740</v>
      </c>
      <c r="F68" t="str">
        <f t="shared" si="2"/>
        <v> FSharp5GFlat5  = 740,</v>
      </c>
      <c r="G68" t="str">
        <f t="shared" si="3"/>
        <v>public const float  FSharp5GFlat5  = 739.99f;</v>
      </c>
    </row>
    <row r="69" spans="1:7" ht="18" x14ac:dyDescent="0.25">
      <c r="A69" s="1" t="s">
        <v>70</v>
      </c>
      <c r="B69" s="1">
        <v>783.99</v>
      </c>
      <c r="C69" s="1">
        <v>44.01</v>
      </c>
      <c r="D69" t="s">
        <v>178</v>
      </c>
      <c r="E69">
        <f>ROUND(B69,0)</f>
        <v>784</v>
      </c>
      <c r="F69" t="str">
        <f t="shared" si="2"/>
        <v>G5 = 784,</v>
      </c>
      <c r="G69" t="str">
        <f t="shared" si="3"/>
        <v>public const float G5 = 783.99f;</v>
      </c>
    </row>
    <row r="70" spans="1:7" ht="18.75" x14ac:dyDescent="0.25">
      <c r="A70" s="1" t="s">
        <v>71</v>
      </c>
      <c r="B70" s="1">
        <v>830.61</v>
      </c>
      <c r="C70" s="1">
        <v>41.54</v>
      </c>
      <c r="D70" t="s">
        <v>179</v>
      </c>
      <c r="E70">
        <f>ROUND(B70,0)</f>
        <v>831</v>
      </c>
      <c r="F70" t="str">
        <f t="shared" si="2"/>
        <v> GSharp5AFlat5  = 831,</v>
      </c>
      <c r="G70" t="str">
        <f t="shared" si="3"/>
        <v>public const float  GSharp5AFlat5  = 830.61f;</v>
      </c>
    </row>
    <row r="71" spans="1:7" ht="18" x14ac:dyDescent="0.25">
      <c r="A71" s="1" t="s">
        <v>72</v>
      </c>
      <c r="B71" s="1">
        <v>880</v>
      </c>
      <c r="C71" s="1">
        <v>39.200000000000003</v>
      </c>
      <c r="D71" t="s">
        <v>180</v>
      </c>
      <c r="E71">
        <f>ROUND(B71,0)</f>
        <v>880</v>
      </c>
      <c r="F71" t="str">
        <f t="shared" si="2"/>
        <v>A5 = 880,</v>
      </c>
      <c r="G71" t="str">
        <f t="shared" si="3"/>
        <v>public const float A5 = 880f;</v>
      </c>
    </row>
    <row r="72" spans="1:7" ht="18.75" x14ac:dyDescent="0.25">
      <c r="A72" s="1" t="s">
        <v>73</v>
      </c>
      <c r="B72" s="1">
        <v>932.33</v>
      </c>
      <c r="C72" s="1">
        <v>37</v>
      </c>
      <c r="D72" t="s">
        <v>181</v>
      </c>
      <c r="E72">
        <f>ROUND(B72,0)</f>
        <v>932</v>
      </c>
      <c r="F72" t="str">
        <f t="shared" si="2"/>
        <v> ASharp5BFlat5  = 932,</v>
      </c>
      <c r="G72" t="str">
        <f t="shared" si="3"/>
        <v>public const float  ASharp5BFlat5  = 932.33f;</v>
      </c>
    </row>
    <row r="73" spans="1:7" ht="18" x14ac:dyDescent="0.25">
      <c r="A73" s="1" t="s">
        <v>74</v>
      </c>
      <c r="B73" s="1">
        <v>987.77</v>
      </c>
      <c r="C73" s="1">
        <v>34.93</v>
      </c>
      <c r="D73" t="s">
        <v>182</v>
      </c>
      <c r="E73">
        <f>ROUND(B73,0)</f>
        <v>988</v>
      </c>
      <c r="F73" t="str">
        <f t="shared" si="2"/>
        <v>B5 = 988,</v>
      </c>
      <c r="G73" t="str">
        <f t="shared" si="3"/>
        <v>public const float B5 = 987.77f;</v>
      </c>
    </row>
    <row r="74" spans="1:7" ht="18" x14ac:dyDescent="0.25">
      <c r="A74" s="1" t="s">
        <v>75</v>
      </c>
      <c r="B74" s="1">
        <v>1046.5</v>
      </c>
      <c r="C74" s="1">
        <v>32.97</v>
      </c>
      <c r="D74" t="s">
        <v>183</v>
      </c>
      <c r="E74">
        <f>ROUND(B74,0)</f>
        <v>1047</v>
      </c>
      <c r="F74" t="str">
        <f t="shared" si="2"/>
        <v>C6 = 1047,</v>
      </c>
      <c r="G74" t="str">
        <f t="shared" si="3"/>
        <v>public const float C6 = 1046.5f;</v>
      </c>
    </row>
    <row r="75" spans="1:7" ht="18.75" x14ac:dyDescent="0.25">
      <c r="A75" s="1" t="s">
        <v>76</v>
      </c>
      <c r="B75" s="1">
        <v>1108.73</v>
      </c>
      <c r="C75" s="1">
        <v>31.12</v>
      </c>
      <c r="D75" t="s">
        <v>184</v>
      </c>
      <c r="E75">
        <f>ROUND(B75,0)</f>
        <v>1109</v>
      </c>
      <c r="F75" t="str">
        <f t="shared" si="2"/>
        <v> CSharp6DFlat6  = 1109,</v>
      </c>
      <c r="G75" t="str">
        <f t="shared" si="3"/>
        <v>public const float  CSharp6DFlat6  = 1108.73f;</v>
      </c>
    </row>
    <row r="76" spans="1:7" ht="18" x14ac:dyDescent="0.25">
      <c r="A76" s="1" t="s">
        <v>77</v>
      </c>
      <c r="B76" s="1">
        <v>1174.6600000000001</v>
      </c>
      <c r="C76" s="1">
        <v>29.37</v>
      </c>
      <c r="D76" t="s">
        <v>185</v>
      </c>
      <c r="E76">
        <f>ROUND(B76,0)</f>
        <v>1175</v>
      </c>
      <c r="F76" t="str">
        <f t="shared" si="2"/>
        <v>D6 = 1175,</v>
      </c>
      <c r="G76" t="str">
        <f t="shared" si="3"/>
        <v>public const float D6 = 1174.66f;</v>
      </c>
    </row>
    <row r="77" spans="1:7" ht="18.75" x14ac:dyDescent="0.25">
      <c r="A77" s="1" t="s">
        <v>78</v>
      </c>
      <c r="B77" s="1">
        <v>1244.51</v>
      </c>
      <c r="C77" s="1">
        <v>27.72</v>
      </c>
      <c r="D77" t="s">
        <v>186</v>
      </c>
      <c r="E77">
        <f>ROUND(B77,0)</f>
        <v>1245</v>
      </c>
      <c r="F77" t="str">
        <f t="shared" si="2"/>
        <v> DSharp6EFlat6  = 1245,</v>
      </c>
      <c r="G77" t="str">
        <f t="shared" si="3"/>
        <v>public const float  DSharp6EFlat6  = 1244.51f;</v>
      </c>
    </row>
    <row r="78" spans="1:7" ht="18" x14ac:dyDescent="0.25">
      <c r="A78" s="1" t="s">
        <v>79</v>
      </c>
      <c r="B78" s="1">
        <v>1318.51</v>
      </c>
      <c r="C78" s="1">
        <v>26.17</v>
      </c>
      <c r="D78" t="s">
        <v>187</v>
      </c>
      <c r="E78">
        <f>ROUND(B78,0)</f>
        <v>1319</v>
      </c>
      <c r="F78" t="str">
        <f t="shared" si="2"/>
        <v>E6 = 1319,</v>
      </c>
      <c r="G78" t="str">
        <f t="shared" si="3"/>
        <v>public const float E6 = 1318.51f;</v>
      </c>
    </row>
    <row r="79" spans="1:7" ht="18" x14ac:dyDescent="0.25">
      <c r="A79" s="1" t="s">
        <v>80</v>
      </c>
      <c r="B79" s="1">
        <v>1396.91</v>
      </c>
      <c r="C79" s="1">
        <v>24.7</v>
      </c>
      <c r="D79" t="s">
        <v>188</v>
      </c>
      <c r="E79">
        <f>ROUND(B79,0)</f>
        <v>1397</v>
      </c>
      <c r="F79" t="str">
        <f t="shared" si="2"/>
        <v>F6 = 1397,</v>
      </c>
      <c r="G79" t="str">
        <f t="shared" si="3"/>
        <v>public const float F6 = 1396.91f;</v>
      </c>
    </row>
    <row r="80" spans="1:7" ht="18.75" x14ac:dyDescent="0.25">
      <c r="A80" s="1" t="s">
        <v>81</v>
      </c>
      <c r="B80" s="1">
        <v>1479.98</v>
      </c>
      <c r="C80" s="1">
        <v>23.31</v>
      </c>
      <c r="D80" t="s">
        <v>189</v>
      </c>
      <c r="E80">
        <f>ROUND(B80,0)</f>
        <v>1480</v>
      </c>
      <c r="F80" t="str">
        <f t="shared" si="2"/>
        <v> FSharp6GFlat6  = 1480,</v>
      </c>
      <c r="G80" t="str">
        <f t="shared" si="3"/>
        <v>public const float  FSharp6GFlat6  = 1479.98f;</v>
      </c>
    </row>
    <row r="81" spans="1:7" ht="18" x14ac:dyDescent="0.25">
      <c r="A81" s="1" t="s">
        <v>82</v>
      </c>
      <c r="B81" s="1">
        <v>1567.98</v>
      </c>
      <c r="C81" s="1">
        <v>22</v>
      </c>
      <c r="D81" t="s">
        <v>190</v>
      </c>
      <c r="E81">
        <f>ROUND(B81,0)</f>
        <v>1568</v>
      </c>
      <c r="F81" t="str">
        <f t="shared" si="2"/>
        <v>G6 = 1568,</v>
      </c>
      <c r="G81" t="str">
        <f t="shared" si="3"/>
        <v>public const float G6 = 1567.98f;</v>
      </c>
    </row>
    <row r="82" spans="1:7" ht="18.75" x14ac:dyDescent="0.25">
      <c r="A82" s="1" t="s">
        <v>83</v>
      </c>
      <c r="B82" s="1">
        <v>1661.22</v>
      </c>
      <c r="C82" s="1">
        <v>20.77</v>
      </c>
      <c r="D82" t="s">
        <v>191</v>
      </c>
      <c r="E82">
        <f>ROUND(B82,0)</f>
        <v>1661</v>
      </c>
      <c r="F82" t="str">
        <f t="shared" si="2"/>
        <v> GSharp6AFlat6  = 1661,</v>
      </c>
      <c r="G82" t="str">
        <f t="shared" si="3"/>
        <v>public const float  GSharp6AFlat6  = 1661.22f;</v>
      </c>
    </row>
    <row r="83" spans="1:7" ht="18" x14ac:dyDescent="0.25">
      <c r="A83" s="1" t="s">
        <v>84</v>
      </c>
      <c r="B83" s="1">
        <v>1760</v>
      </c>
      <c r="C83" s="1">
        <v>19.600000000000001</v>
      </c>
      <c r="D83" t="s">
        <v>192</v>
      </c>
      <c r="E83">
        <f>ROUND(B83,0)</f>
        <v>1760</v>
      </c>
      <c r="F83" t="str">
        <f t="shared" si="2"/>
        <v>A6 = 1760,</v>
      </c>
      <c r="G83" t="str">
        <f t="shared" si="3"/>
        <v>public const float A6 = 1760f;</v>
      </c>
    </row>
    <row r="84" spans="1:7" ht="18.75" x14ac:dyDescent="0.25">
      <c r="A84" s="1" t="s">
        <v>85</v>
      </c>
      <c r="B84" s="1">
        <v>1864.66</v>
      </c>
      <c r="C84" s="1">
        <v>18.5</v>
      </c>
      <c r="D84" t="s">
        <v>193</v>
      </c>
      <c r="E84">
        <f>ROUND(B84,0)</f>
        <v>1865</v>
      </c>
      <c r="F84" t="str">
        <f t="shared" si="2"/>
        <v> ASharp6BFlat6  = 1865,</v>
      </c>
      <c r="G84" t="str">
        <f t="shared" si="3"/>
        <v>public const float  ASharp6BFlat6  = 1864.66f;</v>
      </c>
    </row>
    <row r="85" spans="1:7" ht="18" x14ac:dyDescent="0.25">
      <c r="A85" s="1" t="s">
        <v>86</v>
      </c>
      <c r="B85" s="1">
        <v>1975.53</v>
      </c>
      <c r="C85" s="1">
        <v>17.46</v>
      </c>
      <c r="D85" t="s">
        <v>194</v>
      </c>
      <c r="E85">
        <f>ROUND(B85,0)</f>
        <v>1976</v>
      </c>
      <c r="F85" t="str">
        <f t="shared" si="2"/>
        <v>B6 = 1976,</v>
      </c>
      <c r="G85" t="str">
        <f t="shared" si="3"/>
        <v>public const float B6 = 1975.53f;</v>
      </c>
    </row>
    <row r="86" spans="1:7" ht="18" x14ac:dyDescent="0.25">
      <c r="A86" s="1" t="s">
        <v>87</v>
      </c>
      <c r="B86" s="1">
        <v>2093</v>
      </c>
      <c r="C86" s="1">
        <v>16.48</v>
      </c>
      <c r="D86" t="s">
        <v>195</v>
      </c>
      <c r="E86">
        <f>ROUND(B86,0)</f>
        <v>2093</v>
      </c>
      <c r="F86" t="str">
        <f t="shared" si="2"/>
        <v>C7 = 2093,</v>
      </c>
      <c r="G86" t="str">
        <f t="shared" si="3"/>
        <v>public const float C7 = 2093f;</v>
      </c>
    </row>
    <row r="87" spans="1:7" ht="18.75" x14ac:dyDescent="0.25">
      <c r="A87" s="1" t="s">
        <v>88</v>
      </c>
      <c r="B87" s="1">
        <v>2217.46</v>
      </c>
      <c r="C87" s="1">
        <v>15.56</v>
      </c>
      <c r="D87" t="s">
        <v>196</v>
      </c>
      <c r="E87">
        <f>ROUND(B87,0)</f>
        <v>2217</v>
      </c>
      <c r="F87" t="str">
        <f t="shared" si="2"/>
        <v> CSharp7DFlat7  = 2217,</v>
      </c>
      <c r="G87" t="str">
        <f t="shared" si="3"/>
        <v>public const float  CSharp7DFlat7  = 2217.46f;</v>
      </c>
    </row>
    <row r="88" spans="1:7" ht="18" x14ac:dyDescent="0.25">
      <c r="A88" s="1" t="s">
        <v>89</v>
      </c>
      <c r="B88" s="1">
        <v>2349.3200000000002</v>
      </c>
      <c r="C88" s="1">
        <v>14.69</v>
      </c>
      <c r="D88" t="s">
        <v>197</v>
      </c>
      <c r="E88">
        <f>ROUND(B88,0)</f>
        <v>2349</v>
      </c>
      <c r="F88" t="str">
        <f t="shared" si="2"/>
        <v>D7 = 2349,</v>
      </c>
      <c r="G88" t="str">
        <f t="shared" si="3"/>
        <v>public const float D7 = 2349.32f;</v>
      </c>
    </row>
    <row r="89" spans="1:7" ht="18.75" x14ac:dyDescent="0.25">
      <c r="A89" s="1" t="s">
        <v>90</v>
      </c>
      <c r="B89" s="1">
        <v>2489.02</v>
      </c>
      <c r="C89" s="1">
        <v>13.86</v>
      </c>
      <c r="D89" t="s">
        <v>198</v>
      </c>
      <c r="E89">
        <f>ROUND(B89,0)</f>
        <v>2489</v>
      </c>
      <c r="F89" t="str">
        <f t="shared" si="2"/>
        <v> DSharp7EFlat7  = 2489,</v>
      </c>
      <c r="G89" t="str">
        <f t="shared" si="3"/>
        <v>public const float  DSharp7EFlat7  = 2489.02f;</v>
      </c>
    </row>
    <row r="90" spans="1:7" ht="18" x14ac:dyDescent="0.25">
      <c r="A90" s="1" t="s">
        <v>91</v>
      </c>
      <c r="B90" s="1">
        <v>2637.02</v>
      </c>
      <c r="C90" s="1">
        <v>13.08</v>
      </c>
      <c r="D90" t="s">
        <v>199</v>
      </c>
      <c r="E90">
        <f>ROUND(B90,0)</f>
        <v>2637</v>
      </c>
      <c r="F90" t="str">
        <f t="shared" si="2"/>
        <v>E7 = 2637,</v>
      </c>
      <c r="G90" t="str">
        <f t="shared" si="3"/>
        <v>public const float E7 = 2637.02f;</v>
      </c>
    </row>
    <row r="91" spans="1:7" ht="18" x14ac:dyDescent="0.25">
      <c r="A91" s="1" t="s">
        <v>92</v>
      </c>
      <c r="B91" s="1">
        <v>2793.83</v>
      </c>
      <c r="C91" s="1">
        <v>12.35</v>
      </c>
      <c r="D91" t="s">
        <v>200</v>
      </c>
      <c r="E91">
        <f>ROUND(B91,0)</f>
        <v>2794</v>
      </c>
      <c r="F91" t="str">
        <f t="shared" si="2"/>
        <v>F7 = 2794,</v>
      </c>
      <c r="G91" t="str">
        <f t="shared" si="3"/>
        <v>public const float F7 = 2793.83f;</v>
      </c>
    </row>
    <row r="92" spans="1:7" ht="18.75" x14ac:dyDescent="0.25">
      <c r="A92" s="1" t="s">
        <v>93</v>
      </c>
      <c r="B92" s="1">
        <v>2959.96</v>
      </c>
      <c r="C92" s="1">
        <v>11.66</v>
      </c>
      <c r="D92" t="s">
        <v>201</v>
      </c>
      <c r="E92">
        <f>ROUND(B92,0)</f>
        <v>2960</v>
      </c>
      <c r="F92" t="str">
        <f t="shared" si="2"/>
        <v> FSharp7GFlat7  = 2960,</v>
      </c>
      <c r="G92" t="str">
        <f t="shared" si="3"/>
        <v>public const float  FSharp7GFlat7  = 2959.96f;</v>
      </c>
    </row>
    <row r="93" spans="1:7" ht="18" x14ac:dyDescent="0.25">
      <c r="A93" s="1" t="s">
        <v>94</v>
      </c>
      <c r="B93" s="1">
        <v>3135.96</v>
      </c>
      <c r="C93" s="1">
        <v>11</v>
      </c>
      <c r="D93" t="s">
        <v>202</v>
      </c>
      <c r="E93">
        <f>ROUND(B93,0)</f>
        <v>3136</v>
      </c>
      <c r="F93" t="str">
        <f t="shared" si="2"/>
        <v>G7 = 3136,</v>
      </c>
      <c r="G93" t="str">
        <f t="shared" si="3"/>
        <v>public const float G7 = 3135.96f;</v>
      </c>
    </row>
    <row r="94" spans="1:7" ht="18.75" x14ac:dyDescent="0.25">
      <c r="A94" s="1" t="s">
        <v>95</v>
      </c>
      <c r="B94" s="1">
        <v>3322.44</v>
      </c>
      <c r="C94" s="1">
        <v>10.38</v>
      </c>
      <c r="D94" t="s">
        <v>203</v>
      </c>
      <c r="E94">
        <f>ROUND(B94,0)</f>
        <v>3322</v>
      </c>
      <c r="F94" t="str">
        <f t="shared" si="2"/>
        <v> GSharp7AFlat7  = 3322,</v>
      </c>
      <c r="G94" t="str">
        <f t="shared" si="3"/>
        <v>public const float  GSharp7AFlat7  = 3322.44f;</v>
      </c>
    </row>
    <row r="95" spans="1:7" ht="18" x14ac:dyDescent="0.25">
      <c r="A95" s="1" t="s">
        <v>96</v>
      </c>
      <c r="B95" s="1">
        <v>3520</v>
      </c>
      <c r="C95" s="1">
        <v>9.8000000000000007</v>
      </c>
      <c r="D95" t="s">
        <v>204</v>
      </c>
      <c r="E95">
        <f>ROUND(B95,0)</f>
        <v>3520</v>
      </c>
      <c r="F95" t="str">
        <f t="shared" si="2"/>
        <v>A7 = 3520,</v>
      </c>
      <c r="G95" t="str">
        <f t="shared" si="3"/>
        <v>public const float A7 = 3520f;</v>
      </c>
    </row>
    <row r="96" spans="1:7" ht="18.75" x14ac:dyDescent="0.25">
      <c r="A96" s="1" t="s">
        <v>97</v>
      </c>
      <c r="B96" s="1">
        <v>3729.31</v>
      </c>
      <c r="C96" s="1">
        <v>9.25</v>
      </c>
      <c r="D96" t="s">
        <v>205</v>
      </c>
      <c r="E96">
        <f>ROUND(B96,0)</f>
        <v>3729</v>
      </c>
      <c r="F96" t="str">
        <f t="shared" si="2"/>
        <v> ASharp7BFlat7  = 3729,</v>
      </c>
      <c r="G96" t="str">
        <f t="shared" si="3"/>
        <v>public const float  ASharp7BFlat7  = 3729.31f;</v>
      </c>
    </row>
    <row r="97" spans="1:7" ht="18" x14ac:dyDescent="0.25">
      <c r="A97" s="1" t="s">
        <v>98</v>
      </c>
      <c r="B97" s="1">
        <v>3951.07</v>
      </c>
      <c r="C97" s="1">
        <v>8.73</v>
      </c>
      <c r="D97" t="s">
        <v>206</v>
      </c>
      <c r="E97">
        <f>ROUND(B97,0)</f>
        <v>3951</v>
      </c>
      <c r="F97" t="str">
        <f t="shared" si="2"/>
        <v>B7 = 3951,</v>
      </c>
      <c r="G97" t="str">
        <f t="shared" si="3"/>
        <v>public const float B7 = 3951.07f;</v>
      </c>
    </row>
    <row r="98" spans="1:7" ht="18" x14ac:dyDescent="0.25">
      <c r="A98" s="1" t="s">
        <v>99</v>
      </c>
      <c r="B98" s="1">
        <v>4186.01</v>
      </c>
      <c r="C98" s="1">
        <v>8.24</v>
      </c>
      <c r="D98" t="s">
        <v>207</v>
      </c>
      <c r="E98">
        <f>ROUND(B98,0)</f>
        <v>4186</v>
      </c>
      <c r="F98" t="str">
        <f t="shared" si="2"/>
        <v>C8 = 4186,</v>
      </c>
      <c r="G98" t="str">
        <f t="shared" si="3"/>
        <v>public const float C8 = 4186.01f;</v>
      </c>
    </row>
    <row r="99" spans="1:7" ht="18.75" x14ac:dyDescent="0.25">
      <c r="A99" s="1" t="s">
        <v>100</v>
      </c>
      <c r="B99" s="1">
        <v>4434.92</v>
      </c>
      <c r="C99" s="1">
        <v>7.78</v>
      </c>
      <c r="D99" t="s">
        <v>208</v>
      </c>
      <c r="E99">
        <f>ROUND(B99,0)</f>
        <v>4435</v>
      </c>
      <c r="F99" t="str">
        <f t="shared" si="2"/>
        <v> CSharp8DFlat8  = 4435,</v>
      </c>
      <c r="G99" t="str">
        <f t="shared" si="3"/>
        <v>public const float  CSharp8DFlat8  = 4434.92f;</v>
      </c>
    </row>
    <row r="100" spans="1:7" ht="18" x14ac:dyDescent="0.25">
      <c r="A100" s="1" t="s">
        <v>101</v>
      </c>
      <c r="B100" s="1">
        <v>4698.63</v>
      </c>
      <c r="C100" s="1">
        <v>7.34</v>
      </c>
      <c r="D100" t="s">
        <v>209</v>
      </c>
      <c r="E100">
        <f>ROUND(B100,0)</f>
        <v>4699</v>
      </c>
      <c r="F100" t="str">
        <f t="shared" si="2"/>
        <v>D8 = 4699,</v>
      </c>
      <c r="G100" t="str">
        <f t="shared" si="3"/>
        <v>public const float D8 = 4698.63f;</v>
      </c>
    </row>
    <row r="101" spans="1:7" ht="18.75" x14ac:dyDescent="0.25">
      <c r="A101" s="1" t="s">
        <v>102</v>
      </c>
      <c r="B101" s="1">
        <v>4978.03</v>
      </c>
      <c r="C101" s="1">
        <v>6.93</v>
      </c>
      <c r="D101" t="s">
        <v>210</v>
      </c>
      <c r="E101">
        <f>ROUND(B101,0)</f>
        <v>4978</v>
      </c>
      <c r="F101" t="str">
        <f t="shared" si="2"/>
        <v> DSharp8EFlat8  = 4978,</v>
      </c>
      <c r="G101" t="str">
        <f t="shared" si="3"/>
        <v>public const float  DSharp8EFlat8  = 4978.03f;</v>
      </c>
    </row>
    <row r="102" spans="1:7" ht="18" x14ac:dyDescent="0.25">
      <c r="A102" s="1" t="s">
        <v>103</v>
      </c>
      <c r="B102" s="1">
        <v>5274.04</v>
      </c>
      <c r="C102" s="1">
        <v>6.54</v>
      </c>
      <c r="D102" t="s">
        <v>211</v>
      </c>
      <c r="E102">
        <f>ROUND(B102,0)</f>
        <v>5274</v>
      </c>
      <c r="F102" t="str">
        <f t="shared" si="2"/>
        <v>E8 = 5274,</v>
      </c>
      <c r="G102" t="str">
        <f t="shared" si="3"/>
        <v>public const float E8 = 5274.04f;</v>
      </c>
    </row>
    <row r="103" spans="1:7" ht="18" x14ac:dyDescent="0.25">
      <c r="A103" s="1" t="s">
        <v>104</v>
      </c>
      <c r="B103" s="1">
        <v>5587.65</v>
      </c>
      <c r="C103" s="1">
        <v>6.17</v>
      </c>
      <c r="D103" t="s">
        <v>212</v>
      </c>
      <c r="E103">
        <f>ROUND(B103,0)</f>
        <v>5588</v>
      </c>
      <c r="F103" t="str">
        <f t="shared" si="2"/>
        <v>F8 = 5588,</v>
      </c>
      <c r="G103" t="str">
        <f t="shared" si="3"/>
        <v>public const float F8 = 5587.65f;</v>
      </c>
    </row>
    <row r="104" spans="1:7" ht="18.75" x14ac:dyDescent="0.25">
      <c r="A104" s="1" t="s">
        <v>105</v>
      </c>
      <c r="B104" s="1">
        <v>5919.91</v>
      </c>
      <c r="C104" s="1">
        <v>5.83</v>
      </c>
      <c r="D104" t="s">
        <v>213</v>
      </c>
      <c r="E104">
        <f>ROUND(B104,0)</f>
        <v>5920</v>
      </c>
      <c r="F104" t="str">
        <f t="shared" si="2"/>
        <v> FSharp8GFlat8  = 5920,</v>
      </c>
      <c r="G104" t="str">
        <f t="shared" si="3"/>
        <v>public const float  FSharp8GFlat8  = 5919.91f;</v>
      </c>
    </row>
    <row r="105" spans="1:7" ht="18" x14ac:dyDescent="0.25">
      <c r="A105" s="1" t="s">
        <v>106</v>
      </c>
      <c r="B105" s="1">
        <v>6271.93</v>
      </c>
      <c r="C105" s="1">
        <v>5.5</v>
      </c>
      <c r="D105" t="s">
        <v>214</v>
      </c>
      <c r="E105">
        <f>ROUND(B105,0)</f>
        <v>6272</v>
      </c>
      <c r="F105" t="str">
        <f t="shared" si="2"/>
        <v>G8 = 6272,</v>
      </c>
      <c r="G105" t="str">
        <f t="shared" si="3"/>
        <v>public const float G8 = 6271.93f;</v>
      </c>
    </row>
    <row r="106" spans="1:7" ht="18.75" x14ac:dyDescent="0.25">
      <c r="A106" s="1" t="s">
        <v>107</v>
      </c>
      <c r="B106" s="1">
        <v>6644.88</v>
      </c>
      <c r="C106" s="1">
        <v>5.19</v>
      </c>
      <c r="D106" t="s">
        <v>215</v>
      </c>
      <c r="E106">
        <f>ROUND(B106,0)</f>
        <v>6645</v>
      </c>
      <c r="F106" t="str">
        <f t="shared" si="2"/>
        <v> GSharp8AFlat8  = 6645,</v>
      </c>
      <c r="G106" t="str">
        <f t="shared" si="3"/>
        <v>public const float  GSharp8AFlat8  = 6644.88f;</v>
      </c>
    </row>
    <row r="107" spans="1:7" ht="18" x14ac:dyDescent="0.25">
      <c r="A107" s="1" t="s">
        <v>108</v>
      </c>
      <c r="B107" s="1">
        <v>7040</v>
      </c>
      <c r="C107" s="1">
        <v>4.9000000000000004</v>
      </c>
      <c r="D107" t="s">
        <v>216</v>
      </c>
      <c r="E107">
        <f>ROUND(B107,0)</f>
        <v>7040</v>
      </c>
      <c r="F107" t="str">
        <f t="shared" si="2"/>
        <v>A8 = 7040,</v>
      </c>
      <c r="G107" t="str">
        <f t="shared" si="3"/>
        <v>public const float A8 = 7040f;</v>
      </c>
    </row>
    <row r="108" spans="1:7" ht="18.75" x14ac:dyDescent="0.25">
      <c r="A108" s="1" t="s">
        <v>109</v>
      </c>
      <c r="B108" s="1">
        <v>7458.62</v>
      </c>
      <c r="C108" s="1">
        <v>4.63</v>
      </c>
      <c r="D108" t="s">
        <v>217</v>
      </c>
      <c r="E108">
        <f>ROUND(B108,0)</f>
        <v>7459</v>
      </c>
      <c r="F108" t="str">
        <f t="shared" si="2"/>
        <v> ASharp8BFlat8  = 7459,</v>
      </c>
      <c r="G108" t="str">
        <f t="shared" si="3"/>
        <v>public const float  ASharp8BFlat8  = 7458.62f;</v>
      </c>
    </row>
    <row r="109" spans="1:7" ht="18" x14ac:dyDescent="0.25">
      <c r="A109" s="1" t="s">
        <v>110</v>
      </c>
      <c r="B109" s="1">
        <v>7902.13</v>
      </c>
      <c r="C109" s="1">
        <v>4.37</v>
      </c>
      <c r="D109" t="s">
        <v>218</v>
      </c>
      <c r="E109">
        <f>ROUND(B109,0)</f>
        <v>7902</v>
      </c>
      <c r="F109" t="str">
        <f t="shared" si="2"/>
        <v>B8 = 7902,</v>
      </c>
      <c r="G109" t="str">
        <f t="shared" si="3"/>
        <v>public const float B8 = 7902.13f;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Thaddeus Winker</dc:creator>
  <cp:lastModifiedBy>Thaddeus Winker</cp:lastModifiedBy>
  <dcterms:created xsi:type="dcterms:W3CDTF">2018-01-28T23:31:19Z</dcterms:created>
  <dcterms:modified xsi:type="dcterms:W3CDTF">2018-01-31T03:36:51Z</dcterms:modified>
</cp:coreProperties>
</file>